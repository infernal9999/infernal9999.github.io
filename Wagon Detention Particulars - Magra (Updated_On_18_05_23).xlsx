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New_Project\"/>
    </mc:Choice>
  </mc:AlternateContent>
  <xr:revisionPtr revIDLastSave="0" documentId="13_ncr:1_{87DC78E1-39B6-46D7-B04B-BBEE0B1E1D28}" xr6:coauthVersionLast="47" xr6:coauthVersionMax="47" xr10:uidLastSave="{00000000-0000-0000-0000-000000000000}"/>
  <workbookProtection workbookAlgorithmName="SHA-512" workbookHashValue="cH/mUO/d9ldAeS2ikisNQa7soV+hH/v/Gp9uOs+0CR2cRODROlyYkXKmHyWrCaT7dU5Ak1J9vWe/yQV1nJScnw==" workbookSaltValue="3Ds2MxbsE2Up5XlJAxZIQw==" workbookSpinCount="100000" lockStructure="1"/>
  <bookViews>
    <workbookView xWindow="-108" yWindow="-108" windowWidth="23256" windowHeight="13176" xr2:uid="{00000000-000D-0000-FFFF-FFFF00000000}"/>
  </bookViews>
  <sheets>
    <sheet name="Inputs" sheetId="1" r:id="rId1"/>
    <sheet name="Result" sheetId="2" r:id="rId2"/>
  </sheets>
  <calcPr calcId="181029"/>
  <fileRecoveryPr repairLoad="1"/>
</workbook>
</file>

<file path=xl/calcChain.xml><?xml version="1.0" encoding="utf-8"?>
<calcChain xmlns="http://schemas.openxmlformats.org/spreadsheetml/2006/main">
  <c r="E35" i="2" l="1"/>
  <c r="D35" i="2"/>
  <c r="B35" i="2"/>
  <c r="E34" i="2"/>
  <c r="D34" i="2"/>
  <c r="B34" i="2"/>
  <c r="E33" i="2"/>
  <c r="D33" i="2"/>
  <c r="B33" i="2"/>
  <c r="E32" i="2"/>
  <c r="D32" i="2"/>
  <c r="B32" i="2"/>
  <c r="E31" i="2"/>
  <c r="D31" i="2"/>
  <c r="B31" i="2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G16" i="2"/>
  <c r="E16" i="2"/>
  <c r="C16" i="2"/>
  <c r="B16" i="2"/>
  <c r="G15" i="2"/>
  <c r="E15" i="2"/>
  <c r="C15" i="2"/>
  <c r="B15" i="2"/>
  <c r="G14" i="2"/>
  <c r="E14" i="2"/>
  <c r="C14" i="2"/>
  <c r="B14" i="2"/>
  <c r="G13" i="2"/>
  <c r="E13" i="2"/>
  <c r="C13" i="2"/>
  <c r="B13" i="2"/>
  <c r="G12" i="2"/>
  <c r="E12" i="2"/>
  <c r="C12" i="2"/>
  <c r="B12" i="2"/>
  <c r="G11" i="2"/>
  <c r="E11" i="2"/>
  <c r="C11" i="2"/>
  <c r="B11" i="2"/>
  <c r="G10" i="2"/>
  <c r="E10" i="2"/>
  <c r="C10" i="2"/>
  <c r="B10" i="2"/>
  <c r="G9" i="2"/>
  <c r="E9" i="2"/>
  <c r="C9" i="2"/>
  <c r="B9" i="2"/>
  <c r="G8" i="2"/>
  <c r="E8" i="2"/>
  <c r="C8" i="2"/>
  <c r="B8" i="2"/>
  <c r="G7" i="2"/>
  <c r="E7" i="2"/>
  <c r="C7" i="2"/>
  <c r="B7" i="2"/>
  <c r="G6" i="2"/>
  <c r="E6" i="2"/>
  <c r="C6" i="2"/>
  <c r="B6" i="2"/>
  <c r="G5" i="2"/>
  <c r="E5" i="2"/>
  <c r="C5" i="2"/>
  <c r="B5" i="2"/>
  <c r="G4" i="2"/>
  <c r="E4" i="2"/>
  <c r="C4" i="2"/>
  <c r="B4" i="2"/>
  <c r="G3" i="2"/>
  <c r="E3" i="2"/>
  <c r="C3" i="2"/>
  <c r="B3" i="2"/>
  <c r="G2" i="2"/>
  <c r="E2" i="2"/>
  <c r="C2" i="2"/>
  <c r="B2" i="2"/>
  <c r="B37" i="2" l="1" a="1"/>
  <c r="B37" i="2" s="1"/>
  <c r="D37" i="2" a="1"/>
  <c r="D37" i="2" s="1"/>
  <c r="G17" i="2" a="1"/>
  <c r="G17" i="2" s="1"/>
  <c r="E18" i="2" a="1"/>
  <c r="E18" i="2" s="1"/>
  <c r="C17" i="2" a="1"/>
  <c r="C17" i="2" s="1"/>
  <c r="C18" i="2" a="1"/>
  <c r="C18" i="2" s="1"/>
  <c r="E37" i="2" a="1"/>
  <c r="E37" i="2" s="1"/>
  <c r="E36" i="2" a="1"/>
  <c r="E36" i="2" s="1"/>
  <c r="B36" i="2" a="1"/>
  <c r="B36" i="2" s="1"/>
  <c r="G18" i="2" a="1"/>
  <c r="G18" i="2" s="1"/>
  <c r="D36" i="2" a="1"/>
  <c r="D36" i="2" s="1"/>
  <c r="E17" i="2" a="1"/>
  <c r="E17" i="2" s="1"/>
</calcChain>
</file>

<file path=xl/sharedStrings.xml><?xml version="1.0" encoding="utf-8"?>
<sst xmlns="http://schemas.openxmlformats.org/spreadsheetml/2006/main" count="164" uniqueCount="46">
  <si>
    <t>ARRIVAL</t>
  </si>
  <si>
    <t>PLACEMENT</t>
  </si>
  <si>
    <t>SN</t>
  </si>
  <si>
    <t>DATE</t>
  </si>
  <si>
    <t>COMMODITY</t>
  </si>
  <si>
    <t>TIME</t>
  </si>
  <si>
    <t>DN II LOOP</t>
  </si>
  <si>
    <t>42BCNL+1/MT</t>
  </si>
  <si>
    <t>20BCNL</t>
  </si>
  <si>
    <t>22BCNL+1MT</t>
  </si>
  <si>
    <t>RELEASE</t>
  </si>
  <si>
    <t>DRAWN OUT</t>
  </si>
  <si>
    <t>DESPATCH</t>
  </si>
  <si>
    <t>ENG. NO</t>
  </si>
  <si>
    <t>STN. TO</t>
  </si>
  <si>
    <t>REASON</t>
  </si>
  <si>
    <t>TOTAL</t>
  </si>
  <si>
    <t>AVERAGE</t>
  </si>
  <si>
    <t>TOTAL RAKE</t>
  </si>
  <si>
    <t>WAGONS</t>
  </si>
  <si>
    <t>SUMMARY</t>
  </si>
  <si>
    <t>TOTAL RAKE=</t>
  </si>
  <si>
    <t>TOTAL WAGON=</t>
  </si>
  <si>
    <t>COMMODITY/</t>
  </si>
  <si>
    <t>01) FERTILISER</t>
  </si>
  <si>
    <t>02) CEMENT=</t>
  </si>
  <si>
    <t>03) DOC=</t>
  </si>
  <si>
    <t>04) MAIZE=</t>
  </si>
  <si>
    <t>TRAIN ΝΟ</t>
  </si>
  <si>
    <t>LINE NO</t>
  </si>
  <si>
    <t>TTL LOAD</t>
  </si>
  <si>
    <t>ENG. ΝΟ</t>
  </si>
  <si>
    <t>OLD BUFFER</t>
  </si>
  <si>
    <t>NEW BUFFER</t>
  </si>
  <si>
    <t>NO. OF WAGONS</t>
  </si>
  <si>
    <t>TTL LD</t>
  </si>
  <si>
    <t>DEP. TIME</t>
  </si>
  <si>
    <t>ARIVAL TO PLACEMENT</t>
  </si>
  <si>
    <t>REASON FOR DETENTION</t>
  </si>
  <si>
    <t>PLACEMENT TO RELEASE</t>
  </si>
  <si>
    <t>RELEASE TO DRAWN OUT</t>
  </si>
  <si>
    <t>DRAWNOUT TO DESPATCH</t>
  </si>
  <si>
    <t>RELEASE TO DESPATCH</t>
  </si>
  <si>
    <t>TOTAL DETENTION</t>
  </si>
  <si>
    <t>ARRIV. ΤΙΜΕ</t>
  </si>
  <si>
    <t>05) M/OIL=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</si>
</sst>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hh:mm"/>
    <numFmt numFmtId="165" formatCode="[$-14009]hh:mm;@"/>
    <numFmt numFmtId="166" formatCode="[$-14009]dd/mm/yyyy;@"/>
  </numFmts>
  <fonts count="10">
    <font>
      <sz val="11"/>
      <color theme="1"/>
      <name val="Calibri"/>
      <scheme val="minor"/>
    </font>
    <font>
      <b/>
      <sz val="12"/>
      <color theme="0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sz val="12"/>
      <color theme="0"/>
      <name val="Calibri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theme="9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rgb="FF2E75B5"/>
      </patternFill>
    </fill>
    <fill>
      <patternFill patternType="solid">
        <fgColor theme="1"/>
        <bgColor rgb="FF7030A0"/>
      </patternFill>
    </fill>
    <fill>
      <patternFill patternType="solid">
        <fgColor rgb="FFFF0000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5" xfId="0" applyFont="1" applyBorder="1" applyAlignment="1" applyProtection="1">
      <alignment horizontal="center" vertical="center"/>
      <protection locked="0"/>
    </xf>
    <xf numFmtId="165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6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/>
    <xf numFmtId="0" fontId="3" fillId="0" borderId="7" xfId="0" applyFont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6" borderId="5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0" fontId="8" fillId="5" borderId="5" xfId="0" applyFont="1" applyFill="1" applyBorder="1" applyAlignment="1" applyProtection="1">
      <alignment horizontal="center" vertical="center"/>
      <protection locked="0"/>
    </xf>
    <xf numFmtId="0" fontId="3" fillId="7" borderId="5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 applyProtection="1">
      <alignment horizontal="center" vertical="center"/>
      <protection locked="0"/>
    </xf>
    <xf numFmtId="0" fontId="3" fillId="7" borderId="3" xfId="0" applyFont="1" applyFill="1" applyBorder="1" applyAlignment="1" applyProtection="1">
      <alignment horizontal="center" vertical="center"/>
      <protection locked="0"/>
    </xf>
    <xf numFmtId="0" fontId="3" fillId="8" borderId="5" xfId="0" applyFont="1" applyFill="1" applyBorder="1" applyAlignment="1" applyProtection="1">
      <alignment horizontal="center" vertical="center"/>
      <protection locked="0"/>
    </xf>
    <xf numFmtId="0" fontId="7" fillId="8" borderId="5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</xf>
    <xf numFmtId="0" fontId="7" fillId="7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5">
    <dxf>
      <fill>
        <patternFill patternType="solid">
          <fgColor rgb="FFFF9900"/>
          <bgColor rgb="FF00B0F0"/>
        </patternFill>
      </fill>
    </dxf>
    <dxf>
      <fill>
        <patternFill patternType="solid">
          <fgColor rgb="FFFF9900"/>
          <bgColor rgb="FF00B0F0"/>
        </patternFill>
      </fill>
    </dxf>
    <dxf>
      <fill>
        <patternFill patternType="solid">
          <fgColor rgb="FFFF9900"/>
          <bgColor rgb="FF00B0F0"/>
        </patternFill>
      </fill>
    </dxf>
    <dxf>
      <fill>
        <patternFill patternType="solid">
          <fgColor rgb="FFFF9900"/>
          <bgColor rgb="FF00B0F0"/>
        </patternFill>
      </fill>
    </dxf>
    <dxf>
      <fill>
        <patternFill patternType="solid">
          <fgColor rgb="FFFF9900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zoomScaleNormal="100" workbookViewId="0">
      <selection activeCell="B3" sqref="B3"/>
    </sheetView>
  </sheetViews>
  <sheetFormatPr defaultColWidth="14.44140625" defaultRowHeight="15" customHeight="1"/>
  <cols>
    <col min="1" max="1" width="3.44140625" bestFit="1" customWidth="1"/>
    <col min="2" max="2" width="11.21875" bestFit="1" customWidth="1"/>
    <col min="3" max="3" width="10.21875" bestFit="1" customWidth="1"/>
    <col min="4" max="4" width="17.21875" bestFit="1" customWidth="1"/>
    <col min="5" max="5" width="11.21875" bestFit="1" customWidth="1"/>
    <col min="6" max="6" width="13.44140625" bestFit="1" customWidth="1"/>
    <col min="7" max="8" width="14.21875" bestFit="1" customWidth="1"/>
    <col min="9" max="9" width="11.21875" bestFit="1" customWidth="1"/>
    <col min="10" max="10" width="9.109375" bestFit="1" customWidth="1"/>
    <col min="11" max="11" width="13.109375" bestFit="1" customWidth="1"/>
    <col min="12" max="12" width="14.21875" bestFit="1" customWidth="1"/>
    <col min="13" max="13" width="8.33203125" bestFit="1" customWidth="1"/>
    <col min="14" max="25" width="8.6640625" customWidth="1"/>
  </cols>
  <sheetData>
    <row r="1" spans="1:13" ht="15.6">
      <c r="A1" s="19" t="s">
        <v>0</v>
      </c>
      <c r="B1" s="20"/>
      <c r="C1" s="20"/>
      <c r="D1" s="20"/>
      <c r="E1" s="20"/>
      <c r="F1" s="20"/>
      <c r="G1" s="21"/>
      <c r="H1" s="19" t="s">
        <v>1</v>
      </c>
      <c r="I1" s="20"/>
      <c r="J1" s="20"/>
      <c r="K1" s="20"/>
      <c r="L1" s="21"/>
      <c r="M1" s="18"/>
    </row>
    <row r="2" spans="1:13" ht="15.6">
      <c r="A2" s="10" t="s">
        <v>2</v>
      </c>
      <c r="B2" s="10" t="s">
        <v>3</v>
      </c>
      <c r="C2" s="15" t="s">
        <v>28</v>
      </c>
      <c r="D2" s="15" t="s">
        <v>44</v>
      </c>
      <c r="E2" s="15" t="s">
        <v>29</v>
      </c>
      <c r="F2" s="10" t="s">
        <v>4</v>
      </c>
      <c r="G2" s="15" t="s">
        <v>30</v>
      </c>
      <c r="H2" s="10" t="s">
        <v>3</v>
      </c>
      <c r="I2" s="15" t="s">
        <v>31</v>
      </c>
      <c r="J2" s="10" t="s">
        <v>5</v>
      </c>
      <c r="K2" s="15" t="s">
        <v>32</v>
      </c>
      <c r="L2" s="15" t="s">
        <v>33</v>
      </c>
      <c r="M2" s="18"/>
    </row>
    <row r="3" spans="1:13" ht="15.6">
      <c r="A3" s="11">
        <v>1</v>
      </c>
      <c r="B3" s="16"/>
      <c r="C3" s="4"/>
      <c r="D3" s="5"/>
      <c r="E3" s="54" t="s">
        <v>6</v>
      </c>
      <c r="F3" s="4"/>
      <c r="G3" s="49" t="s">
        <v>7</v>
      </c>
      <c r="H3" s="16"/>
      <c r="I3" s="4"/>
      <c r="J3" s="5"/>
      <c r="K3" s="54" t="s">
        <v>8</v>
      </c>
      <c r="L3" s="49" t="s">
        <v>9</v>
      </c>
      <c r="M3" s="18"/>
    </row>
    <row r="4" spans="1:13" ht="15.6">
      <c r="A4" s="11">
        <v>2</v>
      </c>
      <c r="B4" s="16"/>
      <c r="C4" s="4"/>
      <c r="D4" s="5"/>
      <c r="E4" s="55" t="s">
        <v>6</v>
      </c>
      <c r="F4" s="4"/>
      <c r="G4" s="49" t="s">
        <v>7</v>
      </c>
      <c r="H4" s="16"/>
      <c r="I4" s="4"/>
      <c r="J4" s="5"/>
      <c r="K4" s="54" t="s">
        <v>8</v>
      </c>
      <c r="L4" s="49" t="s">
        <v>9</v>
      </c>
      <c r="M4" s="18"/>
    </row>
    <row r="5" spans="1:13" ht="15.6">
      <c r="A5" s="11">
        <v>3</v>
      </c>
      <c r="B5" s="16"/>
      <c r="C5" s="4"/>
      <c r="D5" s="5"/>
      <c r="E5" s="54" t="s">
        <v>6</v>
      </c>
      <c r="F5" s="4"/>
      <c r="G5" s="49" t="s">
        <v>7</v>
      </c>
      <c r="H5" s="16"/>
      <c r="I5" s="4"/>
      <c r="J5" s="5"/>
      <c r="K5" s="54" t="s">
        <v>8</v>
      </c>
      <c r="L5" s="49" t="s">
        <v>9</v>
      </c>
      <c r="M5" s="18"/>
    </row>
    <row r="6" spans="1:13" ht="15.6">
      <c r="A6" s="11">
        <v>4</v>
      </c>
      <c r="B6" s="16"/>
      <c r="C6" s="4"/>
      <c r="D6" s="5"/>
      <c r="E6" s="54" t="s">
        <v>6</v>
      </c>
      <c r="F6" s="4"/>
      <c r="G6" s="50" t="s">
        <v>7</v>
      </c>
      <c r="H6" s="16"/>
      <c r="I6" s="4"/>
      <c r="J6" s="5"/>
      <c r="K6" s="54" t="s">
        <v>8</v>
      </c>
      <c r="L6" s="49" t="s">
        <v>9</v>
      </c>
      <c r="M6" s="18"/>
    </row>
    <row r="7" spans="1:13" ht="15.6">
      <c r="A7" s="11">
        <v>5</v>
      </c>
      <c r="B7" s="16"/>
      <c r="C7" s="4"/>
      <c r="D7" s="5"/>
      <c r="E7" s="54" t="s">
        <v>6</v>
      </c>
      <c r="F7" s="4"/>
      <c r="G7" s="49" t="s">
        <v>7</v>
      </c>
      <c r="H7" s="16"/>
      <c r="I7" s="4"/>
      <c r="J7" s="5"/>
      <c r="K7" s="54" t="s">
        <v>8</v>
      </c>
      <c r="L7" s="49" t="s">
        <v>9</v>
      </c>
      <c r="M7" s="18"/>
    </row>
    <row r="8" spans="1:13" ht="15.6">
      <c r="A8" s="11">
        <v>6</v>
      </c>
      <c r="B8" s="16"/>
      <c r="C8" s="4"/>
      <c r="D8" s="5"/>
      <c r="E8" s="54" t="s">
        <v>6</v>
      </c>
      <c r="F8" s="4"/>
      <c r="G8" s="49" t="s">
        <v>7</v>
      </c>
      <c r="H8" s="16"/>
      <c r="I8" s="4"/>
      <c r="J8" s="5"/>
      <c r="K8" s="54" t="s">
        <v>8</v>
      </c>
      <c r="L8" s="49" t="s">
        <v>9</v>
      </c>
      <c r="M8" s="18"/>
    </row>
    <row r="9" spans="1:13" ht="15.6">
      <c r="A9" s="11">
        <v>7</v>
      </c>
      <c r="B9" s="16"/>
      <c r="C9" s="4"/>
      <c r="D9" s="5"/>
      <c r="E9" s="54" t="s">
        <v>6</v>
      </c>
      <c r="F9" s="4"/>
      <c r="G9" s="49" t="s">
        <v>7</v>
      </c>
      <c r="H9" s="16"/>
      <c r="I9" s="4"/>
      <c r="J9" s="5"/>
      <c r="K9" s="54" t="s">
        <v>8</v>
      </c>
      <c r="L9" s="49" t="s">
        <v>9</v>
      </c>
      <c r="M9" s="18"/>
    </row>
    <row r="10" spans="1:13" ht="15.6">
      <c r="A10" s="11">
        <v>8</v>
      </c>
      <c r="B10" s="16"/>
      <c r="C10" s="4"/>
      <c r="D10" s="5"/>
      <c r="E10" s="54" t="s">
        <v>6</v>
      </c>
      <c r="F10" s="4"/>
      <c r="G10" s="49" t="s">
        <v>7</v>
      </c>
      <c r="H10" s="16"/>
      <c r="I10" s="4"/>
      <c r="J10" s="5"/>
      <c r="K10" s="54" t="s">
        <v>8</v>
      </c>
      <c r="L10" s="49" t="s">
        <v>9</v>
      </c>
      <c r="M10" s="18"/>
    </row>
    <row r="11" spans="1:13" ht="15.6">
      <c r="A11" s="11">
        <v>9</v>
      </c>
      <c r="B11" s="16"/>
      <c r="C11" s="4"/>
      <c r="D11" s="5"/>
      <c r="E11" s="54" t="s">
        <v>6</v>
      </c>
      <c r="F11" s="4"/>
      <c r="G11" s="49" t="s">
        <v>7</v>
      </c>
      <c r="H11" s="16"/>
      <c r="I11" s="4"/>
      <c r="J11" s="5"/>
      <c r="K11" s="54" t="s">
        <v>8</v>
      </c>
      <c r="L11" s="49" t="s">
        <v>9</v>
      </c>
      <c r="M11" s="18"/>
    </row>
    <row r="12" spans="1:13" ht="15.6">
      <c r="A12" s="11">
        <v>10</v>
      </c>
      <c r="B12" s="16"/>
      <c r="C12" s="4"/>
      <c r="D12" s="5"/>
      <c r="E12" s="55" t="s">
        <v>6</v>
      </c>
      <c r="F12" s="4"/>
      <c r="G12" s="49" t="s">
        <v>7</v>
      </c>
      <c r="H12" s="16"/>
      <c r="I12" s="4"/>
      <c r="J12" s="5"/>
      <c r="K12" s="54" t="s">
        <v>8</v>
      </c>
      <c r="L12" s="49" t="s">
        <v>9</v>
      </c>
      <c r="M12" s="18"/>
    </row>
    <row r="13" spans="1:13" ht="15.6">
      <c r="A13" s="11">
        <v>11</v>
      </c>
      <c r="B13" s="16"/>
      <c r="C13" s="4"/>
      <c r="D13" s="5"/>
      <c r="E13" s="54" t="s">
        <v>6</v>
      </c>
      <c r="F13" s="4"/>
      <c r="G13" s="49" t="s">
        <v>7</v>
      </c>
      <c r="H13" s="16"/>
      <c r="I13" s="4"/>
      <c r="J13" s="5"/>
      <c r="K13" s="54" t="s">
        <v>8</v>
      </c>
      <c r="L13" s="49" t="s">
        <v>9</v>
      </c>
      <c r="M13" s="18"/>
    </row>
    <row r="14" spans="1:13" ht="15.6">
      <c r="A14" s="11">
        <v>12</v>
      </c>
      <c r="B14" s="16"/>
      <c r="C14" s="4"/>
      <c r="D14" s="5"/>
      <c r="E14" s="54" t="s">
        <v>6</v>
      </c>
      <c r="F14" s="4"/>
      <c r="G14" s="49" t="s">
        <v>7</v>
      </c>
      <c r="H14" s="16"/>
      <c r="I14" s="4"/>
      <c r="J14" s="5"/>
      <c r="K14" s="54" t="s">
        <v>8</v>
      </c>
      <c r="L14" s="49" t="s">
        <v>9</v>
      </c>
      <c r="M14" s="18"/>
    </row>
    <row r="15" spans="1:13" ht="15.6">
      <c r="A15" s="11">
        <v>13</v>
      </c>
      <c r="B15" s="16"/>
      <c r="C15" s="4"/>
      <c r="D15" s="5"/>
      <c r="E15" s="54" t="s">
        <v>6</v>
      </c>
      <c r="F15" s="4"/>
      <c r="G15" s="49" t="s">
        <v>7</v>
      </c>
      <c r="H15" s="16"/>
      <c r="I15" s="4"/>
      <c r="J15" s="5"/>
      <c r="K15" s="54" t="s">
        <v>8</v>
      </c>
      <c r="L15" s="49" t="s">
        <v>9</v>
      </c>
      <c r="M15" s="18"/>
    </row>
    <row r="16" spans="1:13" ht="15.6">
      <c r="A16" s="12">
        <v>14</v>
      </c>
      <c r="B16" s="16"/>
      <c r="C16" s="6"/>
      <c r="D16" s="5"/>
      <c r="E16" s="54" t="s">
        <v>6</v>
      </c>
      <c r="F16" s="6"/>
      <c r="G16" s="49" t="s">
        <v>7</v>
      </c>
      <c r="H16" s="16"/>
      <c r="I16" s="6"/>
      <c r="J16" s="5"/>
      <c r="K16" s="54" t="s">
        <v>8</v>
      </c>
      <c r="L16" s="49" t="s">
        <v>9</v>
      </c>
      <c r="M16" s="18"/>
    </row>
    <row r="17" spans="1:14" ht="15.6">
      <c r="A17" s="11">
        <v>15</v>
      </c>
      <c r="B17" s="16"/>
      <c r="C17" s="4"/>
      <c r="D17" s="5"/>
      <c r="E17" s="54" t="s">
        <v>6</v>
      </c>
      <c r="F17" s="4"/>
      <c r="G17" s="49" t="s">
        <v>7</v>
      </c>
      <c r="H17" s="16"/>
      <c r="I17" s="4"/>
      <c r="J17" s="5"/>
      <c r="K17" s="54" t="s">
        <v>8</v>
      </c>
      <c r="L17" s="49" t="s">
        <v>9</v>
      </c>
      <c r="M17" s="18"/>
    </row>
    <row r="18" spans="1:14" ht="14.4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4" ht="15.6">
      <c r="A19" s="19" t="s">
        <v>10</v>
      </c>
      <c r="B19" s="20"/>
      <c r="C19" s="20"/>
      <c r="D19" s="21"/>
      <c r="E19" s="19" t="s">
        <v>11</v>
      </c>
      <c r="F19" s="20"/>
      <c r="G19" s="20"/>
      <c r="H19" s="21"/>
      <c r="I19" s="19" t="s">
        <v>12</v>
      </c>
      <c r="J19" s="20"/>
      <c r="K19" s="20"/>
      <c r="L19" s="20"/>
      <c r="M19" s="21"/>
      <c r="N19" s="18"/>
    </row>
    <row r="20" spans="1:14" ht="15.6">
      <c r="A20" s="10" t="s">
        <v>2</v>
      </c>
      <c r="B20" s="10" t="s">
        <v>3</v>
      </c>
      <c r="C20" s="10" t="s">
        <v>5</v>
      </c>
      <c r="D20" s="15" t="s">
        <v>34</v>
      </c>
      <c r="E20" s="10" t="s">
        <v>3</v>
      </c>
      <c r="F20" s="15" t="s">
        <v>13</v>
      </c>
      <c r="G20" s="15" t="s">
        <v>5</v>
      </c>
      <c r="H20" s="15" t="s">
        <v>35</v>
      </c>
      <c r="I20" s="10" t="s">
        <v>3</v>
      </c>
      <c r="J20" s="15" t="s">
        <v>13</v>
      </c>
      <c r="K20" s="14" t="s">
        <v>36</v>
      </c>
      <c r="L20" s="15" t="s">
        <v>35</v>
      </c>
      <c r="M20" s="15" t="s">
        <v>14</v>
      </c>
      <c r="N20" s="18"/>
    </row>
    <row r="21" spans="1:14" ht="15.75" customHeight="1">
      <c r="A21" s="11">
        <v>1</v>
      </c>
      <c r="B21" s="16"/>
      <c r="C21" s="5"/>
      <c r="D21" s="51" t="s">
        <v>7</v>
      </c>
      <c r="E21" s="16"/>
      <c r="F21" s="7"/>
      <c r="G21" s="5"/>
      <c r="H21" s="52" t="s">
        <v>7</v>
      </c>
      <c r="I21" s="16"/>
      <c r="J21" s="7"/>
      <c r="K21" s="5"/>
      <c r="L21" s="53" t="s">
        <v>7</v>
      </c>
      <c r="M21" s="4"/>
      <c r="N21" s="18"/>
    </row>
    <row r="22" spans="1:14" ht="15.75" customHeight="1">
      <c r="A22" s="11">
        <v>2</v>
      </c>
      <c r="B22" s="16"/>
      <c r="C22" s="5"/>
      <c r="D22" s="57" t="s">
        <v>7</v>
      </c>
      <c r="E22" s="16"/>
      <c r="F22" s="7"/>
      <c r="G22" s="5"/>
      <c r="H22" s="52" t="s">
        <v>7</v>
      </c>
      <c r="I22" s="16"/>
      <c r="J22" s="7"/>
      <c r="K22" s="5"/>
      <c r="L22" s="53" t="s">
        <v>7</v>
      </c>
      <c r="M22" s="4"/>
      <c r="N22" s="18"/>
    </row>
    <row r="23" spans="1:14" ht="15.75" customHeight="1">
      <c r="A23" s="11">
        <v>3</v>
      </c>
      <c r="B23" s="16"/>
      <c r="C23" s="5"/>
      <c r="D23" s="51" t="s">
        <v>7</v>
      </c>
      <c r="E23" s="16"/>
      <c r="F23" s="7"/>
      <c r="G23" s="5"/>
      <c r="H23" s="52" t="s">
        <v>7</v>
      </c>
      <c r="I23" s="16"/>
      <c r="J23" s="7"/>
      <c r="K23" s="5"/>
      <c r="L23" s="53" t="s">
        <v>7</v>
      </c>
      <c r="M23" s="4"/>
      <c r="N23" s="18"/>
    </row>
    <row r="24" spans="1:14" ht="15.75" customHeight="1">
      <c r="A24" s="11">
        <v>4</v>
      </c>
      <c r="B24" s="16"/>
      <c r="C24" s="5"/>
      <c r="D24" s="51" t="s">
        <v>7</v>
      </c>
      <c r="E24" s="16"/>
      <c r="F24" s="7"/>
      <c r="G24" s="5"/>
      <c r="H24" s="52" t="s">
        <v>7</v>
      </c>
      <c r="I24" s="16"/>
      <c r="J24" s="7"/>
      <c r="K24" s="5"/>
      <c r="L24" s="53" t="s">
        <v>7</v>
      </c>
      <c r="M24" s="4"/>
      <c r="N24" s="18"/>
    </row>
    <row r="25" spans="1:14" ht="15.75" customHeight="1">
      <c r="A25" s="11">
        <v>5</v>
      </c>
      <c r="B25" s="16"/>
      <c r="C25" s="5"/>
      <c r="D25" s="51" t="s">
        <v>7</v>
      </c>
      <c r="E25" s="16"/>
      <c r="F25" s="7"/>
      <c r="G25" s="5"/>
      <c r="H25" s="52" t="s">
        <v>7</v>
      </c>
      <c r="I25" s="16"/>
      <c r="J25" s="7"/>
      <c r="K25" s="5"/>
      <c r="L25" s="53" t="s">
        <v>7</v>
      </c>
      <c r="M25" s="4"/>
      <c r="N25" s="18"/>
    </row>
    <row r="26" spans="1:14" ht="15.75" customHeight="1">
      <c r="A26" s="11">
        <v>6</v>
      </c>
      <c r="B26" s="16"/>
      <c r="C26" s="5"/>
      <c r="D26" s="51" t="s">
        <v>7</v>
      </c>
      <c r="E26" s="16"/>
      <c r="F26" s="7"/>
      <c r="G26" s="5"/>
      <c r="H26" s="52" t="s">
        <v>7</v>
      </c>
      <c r="I26" s="16"/>
      <c r="J26" s="7"/>
      <c r="K26" s="5"/>
      <c r="L26" s="53" t="s">
        <v>7</v>
      </c>
      <c r="M26" s="4"/>
      <c r="N26" s="18"/>
    </row>
    <row r="27" spans="1:14" ht="15.75" customHeight="1">
      <c r="A27" s="11">
        <v>7</v>
      </c>
      <c r="B27" s="16"/>
      <c r="C27" s="5"/>
      <c r="D27" s="51" t="s">
        <v>7</v>
      </c>
      <c r="E27" s="16"/>
      <c r="F27" s="7"/>
      <c r="G27" s="5"/>
      <c r="H27" s="52" t="s">
        <v>7</v>
      </c>
      <c r="I27" s="16"/>
      <c r="J27" s="7"/>
      <c r="K27" s="5"/>
      <c r="L27" s="53" t="s">
        <v>7</v>
      </c>
      <c r="M27" s="4"/>
      <c r="N27" s="18"/>
    </row>
    <row r="28" spans="1:14" ht="15.75" customHeight="1">
      <c r="A28" s="11">
        <v>8</v>
      </c>
      <c r="B28" s="16"/>
      <c r="C28" s="5"/>
      <c r="D28" s="51" t="s">
        <v>7</v>
      </c>
      <c r="E28" s="16"/>
      <c r="F28" s="7"/>
      <c r="G28" s="5"/>
      <c r="H28" s="52" t="s">
        <v>7</v>
      </c>
      <c r="I28" s="16"/>
      <c r="J28" s="7"/>
      <c r="K28" s="5"/>
      <c r="L28" s="53" t="s">
        <v>7</v>
      </c>
      <c r="M28" s="4"/>
      <c r="N28" s="18"/>
    </row>
    <row r="29" spans="1:14" ht="15.75" customHeight="1">
      <c r="A29" s="11">
        <v>9</v>
      </c>
      <c r="B29" s="16"/>
      <c r="C29" s="5"/>
      <c r="D29" s="51" t="s">
        <v>7</v>
      </c>
      <c r="E29" s="16"/>
      <c r="F29" s="7"/>
      <c r="G29" s="5"/>
      <c r="H29" s="52" t="s">
        <v>7</v>
      </c>
      <c r="I29" s="16"/>
      <c r="J29" s="7"/>
      <c r="K29" s="5"/>
      <c r="L29" s="53" t="s">
        <v>7</v>
      </c>
      <c r="M29" s="4"/>
      <c r="N29" s="18"/>
    </row>
    <row r="30" spans="1:14" ht="15.75" customHeight="1">
      <c r="A30" s="11">
        <v>10</v>
      </c>
      <c r="B30" s="16"/>
      <c r="C30" s="5"/>
      <c r="D30" s="51" t="s">
        <v>7</v>
      </c>
      <c r="E30" s="16"/>
      <c r="F30" s="7"/>
      <c r="G30" s="5"/>
      <c r="H30" s="52" t="s">
        <v>7</v>
      </c>
      <c r="I30" s="16"/>
      <c r="J30" s="7"/>
      <c r="K30" s="5"/>
      <c r="L30" s="53" t="s">
        <v>7</v>
      </c>
      <c r="M30" s="4"/>
      <c r="N30" s="18"/>
    </row>
    <row r="31" spans="1:14" ht="15.75" customHeight="1">
      <c r="A31" s="11">
        <v>11</v>
      </c>
      <c r="B31" s="16"/>
      <c r="C31" s="5"/>
      <c r="D31" s="51" t="s">
        <v>7</v>
      </c>
      <c r="E31" s="16"/>
      <c r="F31" s="7"/>
      <c r="G31" s="5"/>
      <c r="H31" s="52" t="s">
        <v>7</v>
      </c>
      <c r="I31" s="16"/>
      <c r="J31" s="7"/>
      <c r="K31" s="5"/>
      <c r="L31" s="53" t="s">
        <v>7</v>
      </c>
      <c r="M31" s="4"/>
      <c r="N31" s="18"/>
    </row>
    <row r="32" spans="1:14" ht="15.75" customHeight="1">
      <c r="A32" s="11">
        <v>12</v>
      </c>
      <c r="B32" s="16"/>
      <c r="C32" s="5"/>
      <c r="D32" s="51" t="s">
        <v>7</v>
      </c>
      <c r="E32" s="16"/>
      <c r="F32" s="7"/>
      <c r="G32" s="5"/>
      <c r="H32" s="52" t="s">
        <v>7</v>
      </c>
      <c r="I32" s="16"/>
      <c r="J32" s="7"/>
      <c r="K32" s="5"/>
      <c r="L32" s="53" t="s">
        <v>7</v>
      </c>
      <c r="M32" s="4"/>
      <c r="N32" s="18"/>
    </row>
    <row r="33" spans="1:14" ht="15.75" customHeight="1">
      <c r="A33" s="11">
        <v>13</v>
      </c>
      <c r="B33" s="16"/>
      <c r="C33" s="5"/>
      <c r="D33" s="51" t="s">
        <v>7</v>
      </c>
      <c r="E33" s="16"/>
      <c r="F33" s="7"/>
      <c r="G33" s="5"/>
      <c r="H33" s="52" t="s">
        <v>7</v>
      </c>
      <c r="I33" s="16"/>
      <c r="J33" s="7"/>
      <c r="K33" s="5"/>
      <c r="L33" s="53" t="s">
        <v>7</v>
      </c>
      <c r="M33" s="4"/>
      <c r="N33" s="18"/>
    </row>
    <row r="34" spans="1:14" ht="15.75" customHeight="1">
      <c r="A34" s="12">
        <v>14</v>
      </c>
      <c r="B34" s="16"/>
      <c r="C34" s="5"/>
      <c r="D34" s="51" t="s">
        <v>7</v>
      </c>
      <c r="E34" s="16"/>
      <c r="F34" s="7"/>
      <c r="G34" s="5"/>
      <c r="H34" s="52" t="s">
        <v>7</v>
      </c>
      <c r="I34" s="16"/>
      <c r="J34" s="7"/>
      <c r="K34" s="5"/>
      <c r="L34" s="53" t="s">
        <v>7</v>
      </c>
      <c r="M34" s="4"/>
      <c r="N34" s="18"/>
    </row>
    <row r="35" spans="1:14" ht="15.75" customHeight="1">
      <c r="A35" s="11">
        <v>15</v>
      </c>
      <c r="B35" s="16"/>
      <c r="C35" s="5"/>
      <c r="D35" s="51" t="s">
        <v>7</v>
      </c>
      <c r="E35" s="16"/>
      <c r="F35" s="7"/>
      <c r="G35" s="5"/>
      <c r="H35" s="52" t="s">
        <v>7</v>
      </c>
      <c r="I35" s="16"/>
      <c r="J35" s="7"/>
      <c r="K35" s="5"/>
      <c r="L35" s="53" t="s">
        <v>7</v>
      </c>
      <c r="M35" s="4"/>
      <c r="N35" s="18"/>
    </row>
    <row r="36" spans="1:14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5.75" customHeight="1"/>
    <row r="38" spans="1:14" ht="15.75" customHeight="1"/>
    <row r="39" spans="1:14" ht="15.75" customHeight="1"/>
    <row r="40" spans="1:14" ht="15.75" customHeight="1"/>
    <row r="41" spans="1:14" ht="15.75" customHeight="1"/>
    <row r="42" spans="1:14" ht="15.75" customHeight="1"/>
    <row r="43" spans="1:14" ht="15.75" customHeight="1"/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9TE7SbL2AkfWVkmAa9n6BCHnPUzxrwfcqdBbWhjmkD/Hm4HfnX1sJsRL+r7eVvT0/MXsjmyXbgan8gldCw/o/A==" saltValue="wYrNvWcFApHs8JDhPYPbQQ==" spinCount="100000" sheet="1" objects="1" scenarios="1" formatCells="0" formatColumns="0" formatRows="0" selectLockedCells="1" sort="0" autoFilter="0" pivotTables="0"/>
  <mergeCells count="9">
    <mergeCell ref="M1:M18"/>
    <mergeCell ref="A18:L18"/>
    <mergeCell ref="A36:M36"/>
    <mergeCell ref="N19:N36"/>
    <mergeCell ref="A1:G1"/>
    <mergeCell ref="H1:L1"/>
    <mergeCell ref="A19:D19"/>
    <mergeCell ref="E19:H19"/>
    <mergeCell ref="I19:M19"/>
  </mergeCells>
  <dataValidations count="2">
    <dataValidation type="custom" allowBlank="1" showInputMessage="1" showErrorMessage="1" promptTitle="Please enter a valid date." prompt="dd-mm-yyyy OR dd/mm/yyyy" sqref="B3:B17 H3:H17 B21:B35 E21:E35 I21:I35" xr:uid="{DEF6A6C8-2174-46F3-B07F-0DBFD4DE0D20}">
      <formula1>IF(AND(ISNUMBER(DAY(B3)), ISNUMBER(MONTH(B3)), ISNUMBER(YEAR(B3))), B3, "")</formula1>
    </dataValidation>
    <dataValidation type="custom" allowBlank="1" showInputMessage="1" showErrorMessage="1" sqref="D3:D17 J3:J17 C21:C35 G21:G35 K21:K35" xr:uid="{910A754A-89EB-4890-8C0F-DA844AE8FA89}">
      <formula1>IF(AND(ISNUMBER(HOUR(C3)), ISNUMBER(MINUTE(C3))), C3, "")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>
      <selection activeCell="D2" sqref="D2"/>
    </sheetView>
  </sheetViews>
  <sheetFormatPr defaultColWidth="14.44140625" defaultRowHeight="15" customHeight="1"/>
  <cols>
    <col min="1" max="1" width="9.77734375" bestFit="1" customWidth="1"/>
    <col min="2" max="2" width="26.6640625" bestFit="1" customWidth="1"/>
    <col min="3" max="4" width="24.77734375" bestFit="1" customWidth="1"/>
    <col min="5" max="5" width="24.21875" bestFit="1" customWidth="1"/>
    <col min="6" max="6" width="12.44140625" bestFit="1" customWidth="1"/>
    <col min="7" max="7" width="25" bestFit="1" customWidth="1"/>
    <col min="8" max="8" width="24.77734375" bestFit="1" customWidth="1"/>
    <col min="9" max="9" width="16.33203125" bestFit="1" customWidth="1"/>
    <col min="10" max="10" width="12.5546875" customWidth="1"/>
    <col min="11" max="11" width="28.5546875" customWidth="1"/>
    <col min="12" max="12" width="27.6640625" customWidth="1"/>
    <col min="13" max="13" width="25.109375" customWidth="1"/>
    <col min="14" max="14" width="21" customWidth="1"/>
    <col min="15" max="15" width="15" customWidth="1"/>
    <col min="16" max="16" width="15.88671875" customWidth="1"/>
    <col min="17" max="17" width="11.6640625" customWidth="1"/>
    <col min="18" max="18" width="19.33203125" customWidth="1"/>
    <col min="19" max="26" width="8.6640625" customWidth="1"/>
  </cols>
  <sheetData>
    <row r="1" spans="1:19" ht="15.6">
      <c r="A1" s="10" t="s">
        <v>2</v>
      </c>
      <c r="B1" s="10" t="s">
        <v>3</v>
      </c>
      <c r="C1" s="14" t="s">
        <v>37</v>
      </c>
      <c r="D1" s="15" t="s">
        <v>38</v>
      </c>
      <c r="E1" s="14" t="s">
        <v>39</v>
      </c>
      <c r="F1" s="10" t="s">
        <v>15</v>
      </c>
      <c r="G1" s="14" t="s">
        <v>40</v>
      </c>
      <c r="H1" s="15" t="s">
        <v>38</v>
      </c>
      <c r="I1" s="22"/>
      <c r="J1" s="1"/>
      <c r="K1" s="1"/>
      <c r="L1" s="1"/>
      <c r="M1" s="1"/>
      <c r="N1" s="1"/>
      <c r="O1" s="1"/>
      <c r="P1" s="1"/>
      <c r="Q1" s="1"/>
      <c r="R1" s="1"/>
      <c r="S1" s="2"/>
    </row>
    <row r="2" spans="1:19" ht="15.6">
      <c r="A2" s="11">
        <v>1</v>
      </c>
      <c r="B2" s="43" t="str">
        <f>IFERROR(IF(Inputs!B3&lt;&gt;"",IF(ISNUMBER(DATEVALUE(TEXT(Inputs!B3,"dd/mm/yyyy"))),Inputs!B3,""),""),"")</f>
        <v/>
      </c>
      <c r="C2" s="44" t="str">
        <f>IF(AND(ISNUMBER(Inputs!B3),ISNUMBER(Inputs!D3),ISNUMBER(Inputs!H3),ISNUMBER(Inputs!J3)), TEXT(ABS(Inputs!B3+Inputs!D3-Inputs!J3-Inputs!H3),"[h]:mm"), "")</f>
        <v/>
      </c>
      <c r="D2" s="17"/>
      <c r="E2" s="44" t="str">
        <f>IF(AND(ISNUMBER(Inputs!H3),ISNUMBER(Inputs!J3),ISNUMBER(Inputs!B21),ISNUMBER(Inputs!C21)), TEXT(ABS(Inputs!H3+Inputs!J3-Inputs!B21-Inputs!C21),"[h]:mm"), "")</f>
        <v/>
      </c>
      <c r="F2" s="17"/>
      <c r="G2" s="44" t="str">
        <f>IF(AND(ISNUMBER(Inputs!B21),ISNUMBER(Inputs!C21),ISNUMBER(Inputs!E21),ISNUMBER(Inputs!G21)), TEXT(ABS(Inputs!B21+Inputs!C21-Inputs!E21-Inputs!G21),"[h]:mm"), "")</f>
        <v/>
      </c>
      <c r="H2" s="40"/>
      <c r="I2" s="23"/>
      <c r="J2" s="1"/>
      <c r="K2" s="1"/>
      <c r="L2" s="1"/>
      <c r="M2" s="1"/>
      <c r="N2" s="1"/>
      <c r="O2" s="1"/>
      <c r="P2" s="1"/>
      <c r="Q2" s="1"/>
      <c r="R2" s="1"/>
      <c r="S2" s="2"/>
    </row>
    <row r="3" spans="1:19" ht="15.6">
      <c r="A3" s="11">
        <v>2</v>
      </c>
      <c r="B3" s="43" t="str">
        <f>IFERROR(IF(Inputs!B4&lt;&gt;"",IF(ISNUMBER(DATEVALUE(TEXT(Inputs!B4,"dd/mm/yyyy"))),Inputs!B4,""),""),"")</f>
        <v/>
      </c>
      <c r="C3" s="44" t="str">
        <f>IF(AND(ISNUMBER(Inputs!B4),ISNUMBER(Inputs!D4),ISNUMBER(Inputs!H4),ISNUMBER(Inputs!J4)), TEXT(ABS(Inputs!B4+Inputs!D4-Inputs!J4-Inputs!H4),"[h]:mm"), "")</f>
        <v/>
      </c>
      <c r="D3" s="17"/>
      <c r="E3" s="44" t="str">
        <f>IF(AND(ISNUMBER(Inputs!H4),ISNUMBER(Inputs!J4),ISNUMBER(Inputs!B22),ISNUMBER(Inputs!C22)), TEXT(ABS(Inputs!H4+Inputs!J4-Inputs!B22-Inputs!C22),"[h]:mm"), "")</f>
        <v/>
      </c>
      <c r="F3" s="17"/>
      <c r="G3" s="44" t="str">
        <f>IF(AND(ISNUMBER(Inputs!B22),ISNUMBER(Inputs!C22),ISNUMBER(Inputs!E22),ISNUMBER(Inputs!G22)), TEXT(ABS(Inputs!B22+Inputs!C22-Inputs!E22-Inputs!G22),"[h]:mm"), "")</f>
        <v/>
      </c>
      <c r="H3" s="40"/>
      <c r="I3" s="23"/>
      <c r="J3" s="1"/>
      <c r="K3" s="1"/>
      <c r="L3" s="1"/>
      <c r="M3" s="1"/>
      <c r="N3" s="1"/>
      <c r="O3" s="1"/>
      <c r="P3" s="1"/>
      <c r="Q3" s="1"/>
      <c r="R3" s="1"/>
      <c r="S3" s="2"/>
    </row>
    <row r="4" spans="1:19" ht="15.6">
      <c r="A4" s="11">
        <v>3</v>
      </c>
      <c r="B4" s="43" t="str">
        <f>IFERROR(IF(Inputs!B5&lt;&gt;"",IF(ISNUMBER(DATEVALUE(TEXT(Inputs!B5,"dd/mm/yyyy"))),Inputs!B5,""),""),"")</f>
        <v/>
      </c>
      <c r="C4" s="44" t="str">
        <f>IF(AND(ISNUMBER(Inputs!B5),ISNUMBER(Inputs!D5),ISNUMBER(Inputs!H5),ISNUMBER(Inputs!J5)), TEXT(ABS(Inputs!B5+Inputs!D5-Inputs!J5-Inputs!H5),"[h]:mm"), "")</f>
        <v/>
      </c>
      <c r="D4" s="17"/>
      <c r="E4" s="44" t="str">
        <f>IF(AND(ISNUMBER(Inputs!H5),ISNUMBER(Inputs!J5),ISNUMBER(Inputs!B23),ISNUMBER(Inputs!C23)), TEXT(ABS(Inputs!H5+Inputs!J5-Inputs!B23-Inputs!C23),"[h]:mm"), "")</f>
        <v/>
      </c>
      <c r="F4" s="17"/>
      <c r="G4" s="44" t="str">
        <f>IF(AND(ISNUMBER(Inputs!B23),ISNUMBER(Inputs!C23),ISNUMBER(Inputs!E23),ISNUMBER(Inputs!G23)), TEXT(ABS(Inputs!B23+Inputs!C23-Inputs!E23-Inputs!G23),"[h]:mm"), "")</f>
        <v/>
      </c>
      <c r="H4" s="40"/>
      <c r="I4" s="23"/>
      <c r="J4" s="1"/>
      <c r="K4" s="1"/>
      <c r="L4" s="1"/>
      <c r="M4" s="1"/>
      <c r="N4" s="1"/>
      <c r="O4" s="1"/>
      <c r="P4" s="1"/>
      <c r="Q4" s="1"/>
      <c r="R4" s="1"/>
      <c r="S4" s="2"/>
    </row>
    <row r="5" spans="1:19" ht="15.6">
      <c r="A5" s="11">
        <v>4</v>
      </c>
      <c r="B5" s="43" t="str">
        <f>IFERROR(IF(Inputs!B6&lt;&gt;"",IF(ISNUMBER(DATEVALUE(TEXT(Inputs!B6,"dd/mm/yyyy"))),Inputs!B6,""),""),"")</f>
        <v/>
      </c>
      <c r="C5" s="44" t="str">
        <f>IF(AND(ISNUMBER(Inputs!B6),ISNUMBER(Inputs!D6),ISNUMBER(Inputs!H6),ISNUMBER(Inputs!J6)), TEXT(ABS(Inputs!B6+Inputs!D6-Inputs!J6-Inputs!H6),"[h]:mm"), "")</f>
        <v/>
      </c>
      <c r="D5" s="17"/>
      <c r="E5" s="44" t="str">
        <f>IF(AND(ISNUMBER(Inputs!H6),ISNUMBER(Inputs!J6),ISNUMBER(Inputs!B24),ISNUMBER(Inputs!C24)), TEXT(ABS(Inputs!H6+Inputs!J6-Inputs!B24-Inputs!C24),"[h]:mm"), "")</f>
        <v/>
      </c>
      <c r="F5" s="17"/>
      <c r="G5" s="44" t="str">
        <f>IF(AND(ISNUMBER(Inputs!B24),ISNUMBER(Inputs!C24),ISNUMBER(Inputs!E24),ISNUMBER(Inputs!G24)), TEXT(ABS(Inputs!B24+Inputs!C24-Inputs!E24-Inputs!G24),"[h]:mm"), "")</f>
        <v/>
      </c>
      <c r="H5" s="40"/>
      <c r="I5" s="23"/>
      <c r="J5" s="1"/>
      <c r="K5" s="1"/>
      <c r="L5" s="1"/>
      <c r="M5" s="1"/>
      <c r="N5" s="1"/>
      <c r="O5" s="1"/>
      <c r="P5" s="1"/>
      <c r="Q5" s="1"/>
      <c r="R5" s="1"/>
      <c r="S5" s="2"/>
    </row>
    <row r="6" spans="1:19" ht="15.6">
      <c r="A6" s="11">
        <v>5</v>
      </c>
      <c r="B6" s="43" t="str">
        <f>IFERROR(IF(Inputs!B7&lt;&gt;"",IF(ISNUMBER(DATEVALUE(TEXT(Inputs!B7,"dd/mm/yyyy"))),Inputs!B7,""),""),"")</f>
        <v/>
      </c>
      <c r="C6" s="44" t="str">
        <f>IF(AND(ISNUMBER(Inputs!B7),ISNUMBER(Inputs!D7),ISNUMBER(Inputs!H7),ISNUMBER(Inputs!J7)), TEXT(ABS(Inputs!B7+Inputs!D7-Inputs!J7-Inputs!H7),"[h]:mm"), "")</f>
        <v/>
      </c>
      <c r="D6" s="17"/>
      <c r="E6" s="44" t="str">
        <f>IF(AND(ISNUMBER(Inputs!H7),ISNUMBER(Inputs!J7),ISNUMBER(Inputs!B25),ISNUMBER(Inputs!C25)), TEXT(ABS(Inputs!H7+Inputs!J7-Inputs!B25-Inputs!C25),"[h]:mm"), "")</f>
        <v/>
      </c>
      <c r="F6" s="17"/>
      <c r="G6" s="44" t="str">
        <f>IF(AND(ISNUMBER(Inputs!B25),ISNUMBER(Inputs!C25),ISNUMBER(Inputs!E25),ISNUMBER(Inputs!G25)), TEXT(ABS(Inputs!B25+Inputs!C25-Inputs!E25-Inputs!G25),"[h]:mm"), "")</f>
        <v/>
      </c>
      <c r="H6" s="40"/>
      <c r="I6" s="23"/>
      <c r="J6" s="1"/>
      <c r="K6" s="1"/>
      <c r="L6" s="1"/>
      <c r="M6" s="1"/>
      <c r="N6" s="1"/>
      <c r="O6" s="1"/>
      <c r="P6" s="1"/>
      <c r="Q6" s="1"/>
      <c r="R6" s="1"/>
      <c r="S6" s="2"/>
    </row>
    <row r="7" spans="1:19" ht="15.6">
      <c r="A7" s="11">
        <v>6</v>
      </c>
      <c r="B7" s="43" t="str">
        <f>IFERROR(IF(Inputs!B8&lt;&gt;"",IF(ISNUMBER(DATEVALUE(TEXT(Inputs!B8,"dd/mm/yyyy"))),Inputs!B8,""),""),"")</f>
        <v/>
      </c>
      <c r="C7" s="44" t="str">
        <f>IF(AND(ISNUMBER(Inputs!B8),ISNUMBER(Inputs!D8),ISNUMBER(Inputs!H8),ISNUMBER(Inputs!J8)), TEXT(ABS(Inputs!B8+Inputs!D8-Inputs!J8-Inputs!H8),"[h]:mm"), "")</f>
        <v/>
      </c>
      <c r="D7" s="17"/>
      <c r="E7" s="44" t="str">
        <f>IF(AND(ISNUMBER(Inputs!H8),ISNUMBER(Inputs!J8),ISNUMBER(Inputs!B26),ISNUMBER(Inputs!C26)), TEXT(ABS(Inputs!H8+Inputs!J8-Inputs!B26-Inputs!C26),"[h]:mm"), "")</f>
        <v/>
      </c>
      <c r="F7" s="17"/>
      <c r="G7" s="44" t="str">
        <f>IF(AND(ISNUMBER(Inputs!B26),ISNUMBER(Inputs!C26),ISNUMBER(Inputs!E26),ISNUMBER(Inputs!G26)), TEXT(ABS(Inputs!B26+Inputs!C26-Inputs!E26-Inputs!G26),"[h]:mm"), "")</f>
        <v/>
      </c>
      <c r="H7" s="40"/>
      <c r="I7" s="23"/>
      <c r="J7" s="1"/>
      <c r="K7" s="1"/>
      <c r="L7" s="1"/>
      <c r="M7" s="1"/>
      <c r="N7" s="1"/>
      <c r="O7" s="1"/>
      <c r="P7" s="1"/>
      <c r="Q7" s="1"/>
      <c r="R7" s="1"/>
      <c r="S7" s="2"/>
    </row>
    <row r="8" spans="1:19" ht="15.6">
      <c r="A8" s="11">
        <v>7</v>
      </c>
      <c r="B8" s="43" t="str">
        <f>IFERROR(IF(Inputs!B9&lt;&gt;"",IF(ISNUMBER(DATEVALUE(TEXT(Inputs!B9,"dd/mm/yyyy"))),Inputs!B9,""),""),"")</f>
        <v/>
      </c>
      <c r="C8" s="44" t="str">
        <f>IF(AND(ISNUMBER(Inputs!B9),ISNUMBER(Inputs!D9),ISNUMBER(Inputs!H9),ISNUMBER(Inputs!J9)), TEXT(ABS(Inputs!B9+Inputs!D9-Inputs!J9-Inputs!H9),"[h]:mm"), "")</f>
        <v/>
      </c>
      <c r="D8" s="17"/>
      <c r="E8" s="44" t="str">
        <f>IF(AND(ISNUMBER(Inputs!H9),ISNUMBER(Inputs!J9),ISNUMBER(Inputs!B27),ISNUMBER(Inputs!C27)), TEXT(ABS(Inputs!H9+Inputs!J9-Inputs!B27-Inputs!C27),"[h]:mm"), "")</f>
        <v/>
      </c>
      <c r="F8" s="17"/>
      <c r="G8" s="44" t="str">
        <f>IF(AND(ISNUMBER(Inputs!B27),ISNUMBER(Inputs!C27),ISNUMBER(Inputs!E27),ISNUMBER(Inputs!G27)), TEXT(ABS(Inputs!B27+Inputs!C27-Inputs!E27-Inputs!G27),"[h]:mm"), "")</f>
        <v/>
      </c>
      <c r="H8" s="40"/>
      <c r="I8" s="23"/>
      <c r="J8" s="1"/>
      <c r="K8" s="1"/>
      <c r="L8" s="1"/>
      <c r="M8" s="1"/>
      <c r="N8" s="1"/>
      <c r="O8" s="1"/>
      <c r="P8" s="1"/>
      <c r="Q8" s="1"/>
      <c r="R8" s="1"/>
      <c r="S8" s="2"/>
    </row>
    <row r="9" spans="1:19" ht="15.6">
      <c r="A9" s="11">
        <v>8</v>
      </c>
      <c r="B9" s="43" t="str">
        <f>IFERROR(IF(Inputs!B10&lt;&gt;"",IF(ISNUMBER(DATEVALUE(TEXT(Inputs!B10,"dd/mm/yyyy"))),Inputs!B10,""),""),"")</f>
        <v/>
      </c>
      <c r="C9" s="44" t="str">
        <f>IF(AND(ISNUMBER(Inputs!B10),ISNUMBER(Inputs!D10),ISNUMBER(Inputs!H10),ISNUMBER(Inputs!J10)), TEXT(ABS(Inputs!B10+Inputs!D10-Inputs!J10-Inputs!H10),"[h]:mm"), "")</f>
        <v/>
      </c>
      <c r="D9" s="17"/>
      <c r="E9" s="44" t="str">
        <f>IF(AND(ISNUMBER(Inputs!H10),ISNUMBER(Inputs!J10),ISNUMBER(Inputs!B28),ISNUMBER(Inputs!C28)), TEXT(ABS(Inputs!H10+Inputs!J10-Inputs!B28-Inputs!C28),"[h]:mm"), "")</f>
        <v/>
      </c>
      <c r="F9" s="17"/>
      <c r="G9" s="44" t="str">
        <f>IF(AND(ISNUMBER(Inputs!B28),ISNUMBER(Inputs!C28),ISNUMBER(Inputs!E28),ISNUMBER(Inputs!G28)), TEXT(ABS(Inputs!B28+Inputs!C28-Inputs!E28-Inputs!G28),"[h]:mm"), "")</f>
        <v/>
      </c>
      <c r="H9" s="40"/>
      <c r="I9" s="23"/>
      <c r="J9" s="1"/>
      <c r="K9" s="1"/>
      <c r="L9" s="1"/>
      <c r="M9" s="1"/>
      <c r="N9" s="1"/>
      <c r="O9" s="1"/>
      <c r="P9" s="1"/>
      <c r="Q9" s="1"/>
      <c r="R9" s="1"/>
      <c r="S9" s="2"/>
    </row>
    <row r="10" spans="1:19" ht="15.6">
      <c r="A10" s="11">
        <v>9</v>
      </c>
      <c r="B10" s="43" t="str">
        <f>IFERROR(IF(Inputs!B11&lt;&gt;"",IF(ISNUMBER(DATEVALUE(TEXT(Inputs!B11,"dd/mm/yyyy"))),Inputs!B11,""),""),"")</f>
        <v/>
      </c>
      <c r="C10" s="44" t="str">
        <f>IF(AND(ISNUMBER(Inputs!B11),ISNUMBER(Inputs!D11),ISNUMBER(Inputs!H11),ISNUMBER(Inputs!J11)), TEXT(ABS(Inputs!B11+Inputs!D11-Inputs!J11-Inputs!H11),"[h]:mm"), "")</f>
        <v/>
      </c>
      <c r="D10" s="17"/>
      <c r="E10" s="44" t="str">
        <f>IF(AND(ISNUMBER(Inputs!H11),ISNUMBER(Inputs!J11),ISNUMBER(Inputs!B29),ISNUMBER(Inputs!C29)), TEXT(ABS(Inputs!H11+Inputs!J11-Inputs!B29-Inputs!C29),"[h]:mm"), "")</f>
        <v/>
      </c>
      <c r="F10" s="17"/>
      <c r="G10" s="44" t="str">
        <f>IF(AND(ISNUMBER(Inputs!B29),ISNUMBER(Inputs!C29),ISNUMBER(Inputs!E29),ISNUMBER(Inputs!G29)), TEXT(ABS(Inputs!B29+Inputs!C29-Inputs!E29-Inputs!G29),"[h]:mm"), "")</f>
        <v/>
      </c>
      <c r="H10" s="40"/>
      <c r="I10" s="23"/>
      <c r="J10" s="1"/>
      <c r="K10" s="1"/>
      <c r="L10" s="1"/>
      <c r="M10" s="1"/>
      <c r="N10" s="1"/>
      <c r="O10" s="1"/>
      <c r="P10" s="1"/>
      <c r="Q10" s="1"/>
      <c r="R10" s="1"/>
      <c r="S10" s="2"/>
    </row>
    <row r="11" spans="1:19" ht="15.6">
      <c r="A11" s="11">
        <v>10</v>
      </c>
      <c r="B11" s="43" t="str">
        <f>IFERROR(IF(Inputs!B12&lt;&gt;"",IF(ISNUMBER(DATEVALUE(TEXT(Inputs!B12,"dd/mm/yyyy"))),Inputs!B12,""),""),"")</f>
        <v/>
      </c>
      <c r="C11" s="44" t="str">
        <f>IF(AND(ISNUMBER(Inputs!B12),ISNUMBER(Inputs!D12),ISNUMBER(Inputs!H12),ISNUMBER(Inputs!J12)), TEXT(ABS(Inputs!B12+Inputs!D12-Inputs!J12-Inputs!H12),"[h]:mm"), "")</f>
        <v/>
      </c>
      <c r="D11" s="17"/>
      <c r="E11" s="44" t="str">
        <f>IF(AND(ISNUMBER(Inputs!H12),ISNUMBER(Inputs!J12),ISNUMBER(Inputs!B30),ISNUMBER(Inputs!C30)), TEXT(ABS(Inputs!H12+Inputs!J12-Inputs!B30-Inputs!C30),"[h]:mm"), "")</f>
        <v/>
      </c>
      <c r="F11" s="17"/>
      <c r="G11" s="44" t="str">
        <f>IF(AND(ISNUMBER(Inputs!B30),ISNUMBER(Inputs!C30),ISNUMBER(Inputs!E30),ISNUMBER(Inputs!G30)), TEXT(ABS(Inputs!B30+Inputs!C30-Inputs!E30-Inputs!G30),"[h]:mm"), "")</f>
        <v/>
      </c>
      <c r="H11" s="40"/>
      <c r="I11" s="23"/>
      <c r="J11" s="1"/>
      <c r="K11" s="1"/>
      <c r="L11" s="1"/>
      <c r="M11" s="1"/>
      <c r="N11" s="1"/>
      <c r="O11" s="1"/>
      <c r="P11" s="1"/>
      <c r="Q11" s="1"/>
      <c r="R11" s="1"/>
      <c r="S11" s="2"/>
    </row>
    <row r="12" spans="1:19" ht="15.6">
      <c r="A12" s="11">
        <v>11</v>
      </c>
      <c r="B12" s="43" t="str">
        <f>IFERROR(IF(Inputs!B13&lt;&gt;"",IF(ISNUMBER(DATEVALUE(TEXT(Inputs!B13,"dd/mm/yyyy"))),Inputs!B13,""),""),"")</f>
        <v/>
      </c>
      <c r="C12" s="44" t="str">
        <f>IF(AND(ISNUMBER(Inputs!B13),ISNUMBER(Inputs!D13),ISNUMBER(Inputs!H13),ISNUMBER(Inputs!J13)), TEXT(ABS(Inputs!B13+Inputs!D13-Inputs!J13-Inputs!H13),"[h]:mm"), "")</f>
        <v/>
      </c>
      <c r="D12" s="17"/>
      <c r="E12" s="44" t="str">
        <f>IF(AND(ISNUMBER(Inputs!H13),ISNUMBER(Inputs!J13),ISNUMBER(Inputs!B31),ISNUMBER(Inputs!C31)), TEXT(ABS(Inputs!H13+Inputs!J13-Inputs!B31-Inputs!C31),"[h]:mm"), "")</f>
        <v/>
      </c>
      <c r="F12" s="17"/>
      <c r="G12" s="44" t="str">
        <f>IF(AND(ISNUMBER(Inputs!B31),ISNUMBER(Inputs!C31),ISNUMBER(Inputs!E31),ISNUMBER(Inputs!G31)), TEXT(ABS(Inputs!B31+Inputs!C31-Inputs!E31-Inputs!G31),"[h]:mm"), "")</f>
        <v/>
      </c>
      <c r="H12" s="40"/>
      <c r="I12" s="23"/>
      <c r="J12" s="1"/>
      <c r="K12" s="1"/>
      <c r="L12" s="1"/>
      <c r="M12" s="1"/>
      <c r="N12" s="1"/>
      <c r="O12" s="1"/>
      <c r="P12" s="1"/>
      <c r="Q12" s="1"/>
      <c r="R12" s="1"/>
      <c r="S12" s="2"/>
    </row>
    <row r="13" spans="1:19" ht="15.6">
      <c r="A13" s="11">
        <v>12</v>
      </c>
      <c r="B13" s="43" t="str">
        <f>IFERROR(IF(Inputs!B14&lt;&gt;"",IF(ISNUMBER(DATEVALUE(TEXT(Inputs!B14,"dd/mm/yyyy"))),Inputs!B14,""),""),"")</f>
        <v/>
      </c>
      <c r="C13" s="44" t="str">
        <f>IF(AND(ISNUMBER(Inputs!B14),ISNUMBER(Inputs!D14),ISNUMBER(Inputs!H14),ISNUMBER(Inputs!J14)), TEXT(ABS(Inputs!B14+Inputs!D14-Inputs!J14-Inputs!H14),"[h]:mm"), "")</f>
        <v/>
      </c>
      <c r="D13" s="17"/>
      <c r="E13" s="44" t="str">
        <f>IF(AND(ISNUMBER(Inputs!H14),ISNUMBER(Inputs!J14),ISNUMBER(Inputs!B32),ISNUMBER(Inputs!C32)), TEXT(ABS(Inputs!H14+Inputs!J14-Inputs!B32-Inputs!C32),"[h]:mm"), "")</f>
        <v/>
      </c>
      <c r="F13" s="17"/>
      <c r="G13" s="44" t="str">
        <f>IF(AND(ISNUMBER(Inputs!B32),ISNUMBER(Inputs!C32),ISNUMBER(Inputs!E32),ISNUMBER(Inputs!G32)), TEXT(ABS(Inputs!B32+Inputs!C32-Inputs!E32-Inputs!G32),"[h]:mm"), "")</f>
        <v/>
      </c>
      <c r="H13" s="40"/>
      <c r="I13" s="23"/>
      <c r="J13" s="1"/>
      <c r="K13" s="1"/>
      <c r="L13" s="1"/>
      <c r="M13" s="1"/>
      <c r="N13" s="1"/>
      <c r="O13" s="1"/>
      <c r="P13" s="1"/>
      <c r="Q13" s="1"/>
      <c r="R13" s="1"/>
      <c r="S13" s="2"/>
    </row>
    <row r="14" spans="1:19" ht="15.6">
      <c r="A14" s="11">
        <v>13</v>
      </c>
      <c r="B14" s="43" t="str">
        <f>IFERROR(IF(Inputs!B15&lt;&gt;"",IF(ISNUMBER(DATEVALUE(TEXT(Inputs!B15,"dd/mm/yyyy"))),Inputs!B15,""),""),"")</f>
        <v/>
      </c>
      <c r="C14" s="44" t="str">
        <f>IF(AND(ISNUMBER(Inputs!B15),ISNUMBER(Inputs!D15),ISNUMBER(Inputs!H15),ISNUMBER(Inputs!J15)), TEXT(ABS(Inputs!B15+Inputs!D15-Inputs!J15-Inputs!H15),"[h]:mm"), "")</f>
        <v/>
      </c>
      <c r="D14" s="17"/>
      <c r="E14" s="44" t="str">
        <f>IF(AND(ISNUMBER(Inputs!H15),ISNUMBER(Inputs!J15),ISNUMBER(Inputs!B33),ISNUMBER(Inputs!C33)), TEXT(ABS(Inputs!H15+Inputs!J15-Inputs!B33-Inputs!C33),"[h]:mm"), "")</f>
        <v/>
      </c>
      <c r="F14" s="17"/>
      <c r="G14" s="44" t="str">
        <f>IF(AND(ISNUMBER(Inputs!B33),ISNUMBER(Inputs!C33),ISNUMBER(Inputs!E33),ISNUMBER(Inputs!G33)), TEXT(ABS(Inputs!B33+Inputs!C33-Inputs!E33-Inputs!G33),"[h]:mm"), "")</f>
        <v/>
      </c>
      <c r="H14" s="40"/>
      <c r="I14" s="23"/>
      <c r="J14" s="1"/>
      <c r="K14" s="1"/>
      <c r="L14" s="1"/>
      <c r="M14" s="1"/>
      <c r="N14" s="1"/>
      <c r="O14" s="1"/>
      <c r="P14" s="1"/>
      <c r="Q14" s="1"/>
      <c r="R14" s="1"/>
      <c r="S14" s="2"/>
    </row>
    <row r="15" spans="1:19" ht="15.6">
      <c r="A15" s="12">
        <v>14</v>
      </c>
      <c r="B15" s="43" t="str">
        <f>IFERROR(IF(Inputs!B16&lt;&gt;"",IF(ISNUMBER(DATEVALUE(TEXT(Inputs!B16,"dd/mm/yyyy"))),Inputs!B16,""),""),"")</f>
        <v/>
      </c>
      <c r="C15" s="44" t="str">
        <f>IF(AND(ISNUMBER(Inputs!B16),ISNUMBER(Inputs!D16),ISNUMBER(Inputs!H16),ISNUMBER(Inputs!J16)), TEXT(ABS(Inputs!B16+Inputs!D16-Inputs!J16-Inputs!H16),"[h]:mm"), "")</f>
        <v/>
      </c>
      <c r="D15" s="17"/>
      <c r="E15" s="44" t="str">
        <f>IF(AND(ISNUMBER(Inputs!H16),ISNUMBER(Inputs!J16),ISNUMBER(Inputs!B34),ISNUMBER(Inputs!C34)), TEXT(ABS(Inputs!H16+Inputs!J16-Inputs!B34-Inputs!C34),"[h]:mm"), "")</f>
        <v/>
      </c>
      <c r="F15" s="17"/>
      <c r="G15" s="44" t="str">
        <f>IF(AND(ISNUMBER(Inputs!B34),ISNUMBER(Inputs!C34),ISNUMBER(Inputs!E34),ISNUMBER(Inputs!G34)), TEXT(ABS(Inputs!B34+Inputs!C34-Inputs!E34-Inputs!G34),"[h]:mm"), "")</f>
        <v/>
      </c>
      <c r="H15" s="40"/>
      <c r="I15" s="23"/>
      <c r="J15" s="1"/>
      <c r="K15" s="1"/>
      <c r="L15" s="1"/>
      <c r="M15" s="1"/>
      <c r="N15" s="1"/>
      <c r="O15" s="1"/>
      <c r="P15" s="1"/>
      <c r="Q15" s="1"/>
      <c r="R15" s="1"/>
      <c r="S15" s="2"/>
    </row>
    <row r="16" spans="1:19" ht="15.6">
      <c r="A16" s="11">
        <v>15</v>
      </c>
      <c r="B16" s="43" t="str">
        <f>IFERROR(IF(Inputs!B17&lt;&gt;"",IF(ISNUMBER(DATEVALUE(TEXT(Inputs!B17,"dd/mm/yyyy"))),Inputs!B17,""),""),"")</f>
        <v/>
      </c>
      <c r="C16" s="44" t="str">
        <f>IF(AND(ISNUMBER(Inputs!B17),ISNUMBER(Inputs!D17),ISNUMBER(Inputs!H17),ISNUMBER(Inputs!J17)), TEXT(ABS(Inputs!B17+Inputs!D17-Inputs!J17-Inputs!H17),"[h]:mm"), "")</f>
        <v/>
      </c>
      <c r="D16" s="41"/>
      <c r="E16" s="44" t="str">
        <f>IF(AND(ISNUMBER(Inputs!H17),ISNUMBER(Inputs!J17),ISNUMBER(Inputs!B35),ISNUMBER(Inputs!C35)), TEXT(ABS(Inputs!H17+Inputs!J17-Inputs!B35-Inputs!C35),"[h]:mm"), "")</f>
        <v/>
      </c>
      <c r="F16" s="41"/>
      <c r="G16" s="44" t="str">
        <f>IF(AND(ISNUMBER(Inputs!B35),ISNUMBER(Inputs!C35),ISNUMBER(Inputs!E35),ISNUMBER(Inputs!G35)), TEXT(ABS(Inputs!B35+Inputs!C35-Inputs!E35-Inputs!G35),"[h]:mm"), "")</f>
        <v/>
      </c>
      <c r="H16" s="42"/>
      <c r="I16" s="23"/>
      <c r="J16" s="1"/>
      <c r="K16" s="1"/>
      <c r="L16" s="1"/>
      <c r="M16" s="1"/>
      <c r="N16" s="1"/>
      <c r="O16" s="1"/>
      <c r="P16" s="1"/>
      <c r="Q16" s="1"/>
      <c r="R16" s="1"/>
      <c r="S16" s="2"/>
    </row>
    <row r="17" spans="1:19" ht="15.6">
      <c r="A17" s="13" t="s">
        <v>16</v>
      </c>
      <c r="B17" s="30"/>
      <c r="C17" s="45" t="str">
        <f t="array" ref="C17">IF(SUM(IFERROR(--C2:C16,0))=0,"",TEXT(SUM(IFERROR(--C2:C16,0)),"[h]:mm"))</f>
        <v/>
      </c>
      <c r="D17" s="32"/>
      <c r="E17" s="45" t="str">
        <f t="array" ref="E17">IF(SUM(IFERROR(--E2:E16,0))=0,"",TEXT(SUM(IFERROR(--E2:E16,0)),"[h]:mm"))</f>
        <v/>
      </c>
      <c r="F17" s="32"/>
      <c r="G17" s="45" t="str">
        <f t="array" ref="G17">IF(SUM(IFERROR(--G2:G16,0))=0,"",TEXT(SUM(IFERROR(--G2:G16,0)),"[h]:mm"))</f>
        <v/>
      </c>
      <c r="H17" s="32"/>
      <c r="I17" s="23"/>
      <c r="J17" s="1"/>
      <c r="K17" s="1"/>
      <c r="L17" s="1"/>
      <c r="M17" s="1"/>
      <c r="N17" s="1"/>
      <c r="O17" s="1"/>
      <c r="P17" s="1"/>
      <c r="Q17" s="1"/>
      <c r="R17" s="1"/>
      <c r="S17" s="2"/>
    </row>
    <row r="18" spans="1:19" ht="15.6">
      <c r="A18" s="13" t="s">
        <v>17</v>
      </c>
      <c r="B18" s="31"/>
      <c r="C18" s="46" t="str">
        <f t="array" ref="C18">IF(COUNTA(C2:C16)=0,"",IFERROR(IF(SUM(IFERROR(VALUE(C2:C16),0))/SUMPRODUCT(--(ISNUMBER(IFERROR(VALUE(C2:C16),""))),--(C2:C16&lt;&gt;""))=0,"",TEXT(SUM(IFERROR(VALUE(C2:C16),0))/SUMPRODUCT(--(ISNUMBER(IFERROR(VALUE(C2:C16),""))),--(C2:C16&lt;&gt;"")),"[h]:mm")),""))</f>
        <v/>
      </c>
      <c r="D18" s="31"/>
      <c r="E18" s="46" t="str">
        <f t="array" ref="E18">IF(COUNTA(E2:E16)=0,"",IFERROR(IF(SUM(IFERROR(VALUE(E2:E16),0))/SUMPRODUCT(--(ISNUMBER(IFERROR(VALUE(E2:E16),""))),--(E2:E16&lt;&gt;""))=0,"",TEXT(SUM(IFERROR(VALUE(E2:E16),0))/SUMPRODUCT(--(ISNUMBER(IFERROR(VALUE(E2:E16),""))),--(E2:E16&lt;&gt;"")),"[h]:mm")),""))</f>
        <v/>
      </c>
      <c r="F18" s="31"/>
      <c r="G18" s="46" t="str">
        <f t="array" ref="G18">IF(COUNTA(G2:G16)=0,"",IFERROR(IF(SUM(IFERROR(VALUE(G2:G16),0))/SUMPRODUCT(--(ISNUMBER(IFERROR(VALUE(G2:G16),""))),--(G2:G16&lt;&gt;""))=0,"",TEXT(SUM(IFERROR(VALUE(G2:G16),0))/SUMPRODUCT(--(ISNUMBER(IFERROR(VALUE(G2:G16),""))),--(G2:G16&lt;&gt;"")),"[h]:mm")),""))</f>
        <v/>
      </c>
      <c r="H18" s="31"/>
      <c r="I18" s="23"/>
      <c r="J18" s="1"/>
      <c r="K18" s="1"/>
      <c r="L18" s="1"/>
      <c r="M18" s="1"/>
      <c r="N18" s="1"/>
      <c r="O18" s="1"/>
      <c r="P18" s="1"/>
      <c r="Q18" s="1"/>
      <c r="R18" s="1"/>
      <c r="S18" s="2"/>
    </row>
    <row r="19" spans="1:19" ht="15.6">
      <c r="A19" s="24"/>
      <c r="B19" s="25"/>
      <c r="C19" s="25"/>
      <c r="D19" s="25"/>
      <c r="E19" s="25"/>
      <c r="F19" s="25"/>
      <c r="G19" s="25"/>
      <c r="H19" s="25"/>
      <c r="I19" s="25"/>
      <c r="J19" s="1"/>
      <c r="K19" s="1"/>
      <c r="L19" s="1"/>
      <c r="M19" s="1"/>
      <c r="N19" s="1"/>
      <c r="O19" s="1"/>
      <c r="P19" s="1"/>
      <c r="Q19" s="1"/>
      <c r="R19" s="1"/>
    </row>
    <row r="20" spans="1:19" ht="15.6">
      <c r="A20" s="10" t="s">
        <v>2</v>
      </c>
      <c r="B20" s="14" t="s">
        <v>41</v>
      </c>
      <c r="C20" s="15" t="s">
        <v>38</v>
      </c>
      <c r="D20" s="15" t="s">
        <v>42</v>
      </c>
      <c r="E20" s="15" t="s">
        <v>43</v>
      </c>
      <c r="F20" s="15" t="s">
        <v>18</v>
      </c>
      <c r="G20" s="15" t="s">
        <v>4</v>
      </c>
      <c r="H20" s="10" t="s">
        <v>19</v>
      </c>
      <c r="I20" s="15" t="s">
        <v>20</v>
      </c>
      <c r="J20" s="26"/>
      <c r="K20" s="1"/>
      <c r="L20" s="1"/>
      <c r="M20" s="1"/>
      <c r="N20" s="1"/>
      <c r="O20" s="1"/>
      <c r="P20" s="1"/>
      <c r="Q20" s="1"/>
      <c r="R20" s="1"/>
    </row>
    <row r="21" spans="1:19" ht="15.75" customHeight="1">
      <c r="A21" s="11">
        <v>1</v>
      </c>
      <c r="B21" s="45" t="str">
        <f>IF(AND(ISNUMBER(Inputs!E21),ISNUMBER(Inputs!G21),ISNUMBER(Inputs!I21),ISNUMBER(Inputs!K21)), TEXT(ABS(Inputs!E21+Inputs!G21-Inputs!I21-Inputs!K21),"[h]:mm"), "")</f>
        <v/>
      </c>
      <c r="C21" s="8"/>
      <c r="D21" s="47" t="str">
        <f>IF(AND(ISNUMBER(Inputs!B21),ISNUMBER(Inputs!C21),ISNUMBER(Inputs!I21),ISNUMBER(Inputs!K21)), TEXT(ABS(Inputs!B21+Inputs!C21-Inputs!I21-Inputs!K21),"[h]:mm"), "")</f>
        <v/>
      </c>
      <c r="E21" s="45" t="str">
        <f>IF(AND(ISNUMBER(Inputs!B3),ISNUMBER(Inputs!D3),ISNUMBER(Inputs!I21),ISNUMBER(Inputs!K21)), TEXT(ABS(Inputs!B3+Inputs!D3-Inputs!I21-Inputs!K21),"[h]:mm"), "")</f>
        <v/>
      </c>
      <c r="F21" s="4"/>
      <c r="G21" s="4"/>
      <c r="H21" s="4"/>
      <c r="I21" s="48" t="s">
        <v>21</v>
      </c>
      <c r="J21" s="27"/>
      <c r="K21" s="1"/>
      <c r="L21" s="1"/>
      <c r="M21" s="1"/>
      <c r="N21" s="1"/>
      <c r="O21" s="1"/>
      <c r="P21" s="1"/>
      <c r="Q21" s="1"/>
      <c r="R21" s="1"/>
    </row>
    <row r="22" spans="1:19" ht="15.75" customHeight="1">
      <c r="A22" s="11">
        <v>2</v>
      </c>
      <c r="B22" s="45" t="str">
        <f>IF(AND(ISNUMBER(Inputs!E22),ISNUMBER(Inputs!G22),ISNUMBER(Inputs!I22),ISNUMBER(Inputs!K22)), TEXT(ABS(Inputs!E22+Inputs!G22-Inputs!I22-Inputs!K22),"[h]:mm"), "")</f>
        <v/>
      </c>
      <c r="C22" s="8"/>
      <c r="D22" s="47" t="str">
        <f>IF(AND(ISNUMBER(Inputs!B22),ISNUMBER(Inputs!C22),ISNUMBER(Inputs!I22),ISNUMBER(Inputs!K22)), TEXT(ABS(Inputs!B22+Inputs!C22-Inputs!I22-Inputs!K22),"[h]:mm"), "")</f>
        <v/>
      </c>
      <c r="E22" s="45" t="str">
        <f>IF(AND(ISNUMBER(Inputs!B4),ISNUMBER(Inputs!D4),ISNUMBER(Inputs!I22),ISNUMBER(Inputs!K22)), TEXT(ABS(Inputs!B4+Inputs!D4-Inputs!I22-Inputs!K22),"[h]:mm"), "")</f>
        <v/>
      </c>
      <c r="F22" s="4"/>
      <c r="G22" s="4"/>
      <c r="H22" s="4"/>
      <c r="I22" s="56"/>
      <c r="J22" s="27"/>
      <c r="K22" s="1"/>
      <c r="L22" s="1"/>
      <c r="M22" s="1"/>
      <c r="N22" s="1"/>
      <c r="O22" s="1"/>
      <c r="P22" s="1"/>
      <c r="Q22" s="1"/>
      <c r="R22" s="1"/>
    </row>
    <row r="23" spans="1:19" ht="15.75" customHeight="1">
      <c r="A23" s="11">
        <v>3</v>
      </c>
      <c r="B23" s="45" t="str">
        <f>IF(AND(ISNUMBER(Inputs!E23),ISNUMBER(Inputs!G23),ISNUMBER(Inputs!I23),ISNUMBER(Inputs!K23)), TEXT(ABS(Inputs!E23+Inputs!G23-Inputs!I23-Inputs!K23),"[h]:mm"), "")</f>
        <v/>
      </c>
      <c r="C23" s="8"/>
      <c r="D23" s="47" t="str">
        <f>IF(AND(ISNUMBER(Inputs!B23),ISNUMBER(Inputs!C23),ISNUMBER(Inputs!I23),ISNUMBER(Inputs!K23)), TEXT(ABS(Inputs!B23+Inputs!C23-Inputs!I23-Inputs!K23),"[h]:mm"), "")</f>
        <v/>
      </c>
      <c r="E23" s="45" t="str">
        <f>IF(AND(ISNUMBER(Inputs!B5),ISNUMBER(Inputs!D5),ISNUMBER(Inputs!I23),ISNUMBER(Inputs!K23)), TEXT(ABS(Inputs!B5+Inputs!D5-Inputs!I23-Inputs!K23),"[h]:mm"), "")</f>
        <v/>
      </c>
      <c r="F23" s="4"/>
      <c r="G23" s="4"/>
      <c r="H23" s="4"/>
      <c r="I23" s="39" t="s">
        <v>22</v>
      </c>
      <c r="J23" s="27"/>
      <c r="K23" s="1"/>
      <c r="L23" s="1"/>
      <c r="M23" s="1"/>
      <c r="N23" s="1"/>
      <c r="O23" s="1"/>
      <c r="P23" s="1"/>
      <c r="Q23" s="1"/>
      <c r="R23" s="1"/>
    </row>
    <row r="24" spans="1:19" ht="15.75" customHeight="1">
      <c r="A24" s="11">
        <v>4</v>
      </c>
      <c r="B24" s="45" t="str">
        <f>IF(AND(ISNUMBER(Inputs!E24),ISNUMBER(Inputs!G24),ISNUMBER(Inputs!I24),ISNUMBER(Inputs!K24)), TEXT(ABS(Inputs!E24+Inputs!G24-Inputs!I24-Inputs!K24),"[h]:mm"), "")</f>
        <v/>
      </c>
      <c r="C24" s="8"/>
      <c r="D24" s="47" t="str">
        <f>IF(AND(ISNUMBER(Inputs!B24),ISNUMBER(Inputs!C24),ISNUMBER(Inputs!I24),ISNUMBER(Inputs!K24)), TEXT(ABS(Inputs!B24+Inputs!C24-Inputs!I24-Inputs!K24),"[h]:mm"), "")</f>
        <v/>
      </c>
      <c r="E24" s="45" t="str">
        <f>IF(AND(ISNUMBER(Inputs!B6),ISNUMBER(Inputs!D6),ISNUMBER(Inputs!I24),ISNUMBER(Inputs!K24)), TEXT(ABS(Inputs!B6+Inputs!D6-Inputs!I24-Inputs!K24),"[h]:mm"), "")</f>
        <v/>
      </c>
      <c r="F24" s="4"/>
      <c r="G24" s="4"/>
      <c r="H24" s="4"/>
      <c r="I24" s="38" t="s">
        <v>23</v>
      </c>
      <c r="J24" s="27"/>
      <c r="K24" s="1"/>
      <c r="L24" s="1"/>
      <c r="M24" s="1"/>
      <c r="N24" s="1"/>
      <c r="O24" s="1"/>
      <c r="P24" s="1"/>
      <c r="Q24" s="1"/>
      <c r="R24" s="1"/>
    </row>
    <row r="25" spans="1:19" ht="15.75" customHeight="1">
      <c r="A25" s="11">
        <v>5</v>
      </c>
      <c r="B25" s="45" t="str">
        <f>IF(AND(ISNUMBER(Inputs!E25),ISNUMBER(Inputs!G25),ISNUMBER(Inputs!I25),ISNUMBER(Inputs!K25)), TEXT(ABS(Inputs!E25+Inputs!G25-Inputs!I25-Inputs!K25),"[h]:mm"), "")</f>
        <v/>
      </c>
      <c r="C25" s="8"/>
      <c r="D25" s="47" t="str">
        <f>IF(AND(ISNUMBER(Inputs!B25),ISNUMBER(Inputs!C25),ISNUMBER(Inputs!I25),ISNUMBER(Inputs!K25)), TEXT(ABS(Inputs!B25+Inputs!C25-Inputs!I25-Inputs!K25),"[h]:mm"), "")</f>
        <v/>
      </c>
      <c r="E25" s="45" t="str">
        <f>IF(AND(ISNUMBER(Inputs!B7),ISNUMBER(Inputs!D7),ISNUMBER(Inputs!I25),ISNUMBER(Inputs!K25)), TEXT(ABS(Inputs!B7+Inputs!D7-Inputs!I25-Inputs!K25),"[h]:mm"), "")</f>
        <v/>
      </c>
      <c r="F25" s="4"/>
      <c r="G25" s="4"/>
      <c r="H25" s="4"/>
      <c r="I25" s="38" t="s">
        <v>24</v>
      </c>
      <c r="J25" s="27"/>
      <c r="K25" s="1"/>
      <c r="L25" s="1"/>
      <c r="M25" s="1"/>
      <c r="N25" s="1"/>
      <c r="O25" s="1"/>
      <c r="P25" s="1"/>
      <c r="Q25" s="1"/>
      <c r="R25" s="1"/>
    </row>
    <row r="26" spans="1:19" ht="15.75" customHeight="1">
      <c r="A26" s="11">
        <v>6</v>
      </c>
      <c r="B26" s="45" t="str">
        <f>IF(AND(ISNUMBER(Inputs!E26),ISNUMBER(Inputs!G26),ISNUMBER(Inputs!I26),ISNUMBER(Inputs!K26)), TEXT(ABS(Inputs!E26+Inputs!G26-Inputs!I26-Inputs!K26),"[h]:mm"), "")</f>
        <v/>
      </c>
      <c r="C26" s="8"/>
      <c r="D26" s="47" t="str">
        <f>IF(AND(ISNUMBER(Inputs!B26),ISNUMBER(Inputs!C26),ISNUMBER(Inputs!I26),ISNUMBER(Inputs!K26)), TEXT(ABS(Inputs!B26+Inputs!C26-Inputs!I26-Inputs!K26),"[h]:mm"), "")</f>
        <v/>
      </c>
      <c r="E26" s="45" t="str">
        <f>IF(AND(ISNUMBER(Inputs!B8),ISNUMBER(Inputs!D8),ISNUMBER(Inputs!I26),ISNUMBER(Inputs!K26)), TEXT(ABS(Inputs!B8+Inputs!D8-Inputs!I26-Inputs!K26),"[h]:mm"), "")</f>
        <v/>
      </c>
      <c r="F26" s="4"/>
      <c r="G26" s="4"/>
      <c r="H26" s="4"/>
      <c r="I26" s="38" t="s">
        <v>25</v>
      </c>
      <c r="J26" s="27"/>
      <c r="K26" s="1"/>
      <c r="L26" s="1"/>
      <c r="M26" s="1"/>
      <c r="N26" s="1"/>
      <c r="O26" s="1"/>
      <c r="P26" s="1"/>
      <c r="Q26" s="1"/>
      <c r="R26" s="1"/>
    </row>
    <row r="27" spans="1:19" ht="15.75" customHeight="1">
      <c r="A27" s="11">
        <v>7</v>
      </c>
      <c r="B27" s="45" t="str">
        <f>IF(AND(ISNUMBER(Inputs!E27),ISNUMBER(Inputs!G27),ISNUMBER(Inputs!I27),ISNUMBER(Inputs!K27)), TEXT(ABS(Inputs!E27+Inputs!G27-Inputs!I27-Inputs!K27),"[h]:mm"), "")</f>
        <v/>
      </c>
      <c r="C27" s="8"/>
      <c r="D27" s="47" t="str">
        <f>IF(AND(ISNUMBER(Inputs!B27),ISNUMBER(Inputs!C27),ISNUMBER(Inputs!I27),ISNUMBER(Inputs!K27)), TEXT(ABS(Inputs!B27+Inputs!C27-Inputs!I27-Inputs!K27),"[h]:mm"), "")</f>
        <v/>
      </c>
      <c r="E27" s="45" t="str">
        <f>IF(AND(ISNUMBER(Inputs!B9),ISNUMBER(Inputs!D9),ISNUMBER(Inputs!I27),ISNUMBER(Inputs!K27)), TEXT(ABS(Inputs!B9+Inputs!D9-Inputs!I27-Inputs!K27),"[h]:mm"), "")</f>
        <v/>
      </c>
      <c r="F27" s="4"/>
      <c r="G27" s="4"/>
      <c r="H27" s="4"/>
      <c r="I27" s="38" t="s">
        <v>26</v>
      </c>
      <c r="J27" s="27"/>
      <c r="K27" s="1"/>
      <c r="L27" s="1"/>
      <c r="M27" s="1"/>
      <c r="N27" s="1"/>
      <c r="O27" s="1"/>
      <c r="P27" s="1"/>
      <c r="Q27" s="1"/>
      <c r="R27" s="1"/>
    </row>
    <row r="28" spans="1:19" ht="15.75" customHeight="1">
      <c r="A28" s="11">
        <v>8</v>
      </c>
      <c r="B28" s="45" t="str">
        <f>IF(AND(ISNUMBER(Inputs!E28),ISNUMBER(Inputs!G28),ISNUMBER(Inputs!I28),ISNUMBER(Inputs!K28)), TEXT(ABS(Inputs!E28+Inputs!G28-Inputs!I28-Inputs!K28),"[h]:mm"), "")</f>
        <v/>
      </c>
      <c r="C28" s="8"/>
      <c r="D28" s="47" t="str">
        <f>IF(AND(ISNUMBER(Inputs!B28),ISNUMBER(Inputs!C28),ISNUMBER(Inputs!I28),ISNUMBER(Inputs!K28)), TEXT(ABS(Inputs!B28+Inputs!C28-Inputs!I28-Inputs!K28),"[h]:mm"), "")</f>
        <v/>
      </c>
      <c r="E28" s="45" t="str">
        <f>IF(AND(ISNUMBER(Inputs!B10),ISNUMBER(Inputs!D10),ISNUMBER(Inputs!I28),ISNUMBER(Inputs!K28)), TEXT(ABS(Inputs!B10+Inputs!D10-Inputs!I28-Inputs!K28),"[h]:mm"), "")</f>
        <v/>
      </c>
      <c r="F28" s="4"/>
      <c r="G28" s="4"/>
      <c r="H28" s="4"/>
      <c r="I28" s="38" t="s">
        <v>27</v>
      </c>
      <c r="J28" s="27"/>
      <c r="K28" s="1"/>
      <c r="L28" s="1"/>
      <c r="M28" s="1"/>
      <c r="N28" s="1"/>
      <c r="O28" s="1"/>
      <c r="P28" s="1"/>
      <c r="Q28" s="1"/>
      <c r="R28" s="1"/>
      <c r="S28" s="3"/>
    </row>
    <row r="29" spans="1:19" ht="15.75" customHeight="1">
      <c r="A29" s="11">
        <v>9</v>
      </c>
      <c r="B29" s="45" t="str">
        <f>IF(AND(ISNUMBER(Inputs!E29),ISNUMBER(Inputs!G29),ISNUMBER(Inputs!I29),ISNUMBER(Inputs!K29)), TEXT(ABS(Inputs!E29+Inputs!G29-Inputs!I29-Inputs!K29),"[h]:mm"), "")</f>
        <v/>
      </c>
      <c r="C29" s="8"/>
      <c r="D29" s="47" t="str">
        <f>IF(AND(ISNUMBER(Inputs!B29),ISNUMBER(Inputs!C29),ISNUMBER(Inputs!I29),ISNUMBER(Inputs!K29)), TEXT(ABS(Inputs!B29+Inputs!C29-Inputs!I29-Inputs!K29),"[h]:mm"), "")</f>
        <v/>
      </c>
      <c r="E29" s="45" t="str">
        <f>IF(AND(ISNUMBER(Inputs!B11),ISNUMBER(Inputs!D11),ISNUMBER(Inputs!I29),ISNUMBER(Inputs!K29)), TEXT(ABS(Inputs!B11+Inputs!D11-Inputs!I29-Inputs!K29),"[h]:mm"), "")</f>
        <v/>
      </c>
      <c r="F29" s="4"/>
      <c r="G29" s="4"/>
      <c r="H29" s="4"/>
      <c r="I29" s="39" t="s">
        <v>45</v>
      </c>
      <c r="J29" s="27"/>
      <c r="K29" s="1"/>
      <c r="L29" s="1"/>
      <c r="M29" s="1"/>
      <c r="N29" s="1"/>
      <c r="O29" s="1"/>
      <c r="P29" s="1"/>
      <c r="Q29" s="1"/>
      <c r="R29" s="1"/>
      <c r="S29" s="3"/>
    </row>
    <row r="30" spans="1:19" ht="15.75" customHeight="1">
      <c r="A30" s="11">
        <v>10</v>
      </c>
      <c r="B30" s="45" t="str">
        <f>IF(AND(ISNUMBER(Inputs!E30),ISNUMBER(Inputs!G30),ISNUMBER(Inputs!I30),ISNUMBER(Inputs!K30)), TEXT(ABS(Inputs!E30+Inputs!G30-Inputs!I30-Inputs!K30),"[h]:mm"), "")</f>
        <v/>
      </c>
      <c r="C30" s="8"/>
      <c r="D30" s="47" t="str">
        <f>IF(AND(ISNUMBER(Inputs!B30),ISNUMBER(Inputs!C30),ISNUMBER(Inputs!I30),ISNUMBER(Inputs!K30)), TEXT(ABS(Inputs!B30+Inputs!C30-Inputs!I30-Inputs!K30),"[h]:mm"), "")</f>
        <v/>
      </c>
      <c r="E30" s="45" t="str">
        <f>IF(AND(ISNUMBER(Inputs!B12),ISNUMBER(Inputs!D12),ISNUMBER(Inputs!I30),ISNUMBER(Inputs!K30)), TEXT(ABS(Inputs!B12+Inputs!D12-Inputs!I30-Inputs!K30),"[h]:mm"), "")</f>
        <v/>
      </c>
      <c r="F30" s="4"/>
      <c r="G30" s="4"/>
      <c r="H30" s="4"/>
      <c r="I30" s="4"/>
      <c r="J30" s="27"/>
      <c r="K30" s="1"/>
      <c r="L30" s="1"/>
      <c r="M30" s="1"/>
      <c r="N30" s="1"/>
      <c r="O30" s="1"/>
      <c r="P30" s="1"/>
      <c r="Q30" s="1"/>
      <c r="R30" s="1"/>
      <c r="S30" s="3"/>
    </row>
    <row r="31" spans="1:19" ht="15.75" customHeight="1">
      <c r="A31" s="11">
        <v>11</v>
      </c>
      <c r="B31" s="45" t="str">
        <f>IF(AND(ISNUMBER(Inputs!E31),ISNUMBER(Inputs!G31),ISNUMBER(Inputs!I31),ISNUMBER(Inputs!K31)), TEXT(ABS(Inputs!E31+Inputs!G31-Inputs!I31-Inputs!K31),"[h]:mm"), "")</f>
        <v/>
      </c>
      <c r="C31" s="8"/>
      <c r="D31" s="47" t="str">
        <f>IF(AND(ISNUMBER(Inputs!B31),ISNUMBER(Inputs!C31),ISNUMBER(Inputs!I31),ISNUMBER(Inputs!K31)), TEXT(ABS(Inputs!B31+Inputs!C31-Inputs!I31-Inputs!K31),"[h]:mm"), "")</f>
        <v/>
      </c>
      <c r="E31" s="45" t="str">
        <f>IF(AND(ISNUMBER(Inputs!B13),ISNUMBER(Inputs!D13),ISNUMBER(Inputs!I31),ISNUMBER(Inputs!K31)), TEXT(ABS(Inputs!B13+Inputs!D13-Inputs!I31-Inputs!K31),"[h]:mm"), "")</f>
        <v/>
      </c>
      <c r="F31" s="4"/>
      <c r="G31" s="4"/>
      <c r="H31" s="4"/>
      <c r="I31" s="4"/>
      <c r="J31" s="27"/>
      <c r="K31" s="1"/>
      <c r="L31" s="1"/>
      <c r="M31" s="1"/>
      <c r="N31" s="1"/>
      <c r="O31" s="1"/>
      <c r="P31" s="1"/>
      <c r="Q31" s="1"/>
      <c r="R31" s="1"/>
      <c r="S31" s="3"/>
    </row>
    <row r="32" spans="1:19" ht="15.75" customHeight="1">
      <c r="A32" s="11">
        <v>12</v>
      </c>
      <c r="B32" s="45" t="str">
        <f>IF(AND(ISNUMBER(Inputs!E32),ISNUMBER(Inputs!G32),ISNUMBER(Inputs!I32),ISNUMBER(Inputs!K32)), TEXT(ABS(Inputs!E32+Inputs!G32-Inputs!I32-Inputs!K32),"[h]:mm"), "")</f>
        <v/>
      </c>
      <c r="C32" s="8"/>
      <c r="D32" s="47" t="str">
        <f>IF(AND(ISNUMBER(Inputs!B32),ISNUMBER(Inputs!C32),ISNUMBER(Inputs!I32),ISNUMBER(Inputs!K32)), TEXT(ABS(Inputs!B32+Inputs!C32-Inputs!I32-Inputs!K32),"[h]:mm"), "")</f>
        <v/>
      </c>
      <c r="E32" s="45" t="str">
        <f>IF(AND(ISNUMBER(Inputs!B14),ISNUMBER(Inputs!D14),ISNUMBER(Inputs!I32),ISNUMBER(Inputs!K32)), TEXT(ABS(Inputs!B14+Inputs!D14-Inputs!I32-Inputs!K32),"[h]:mm"), "")</f>
        <v/>
      </c>
      <c r="F32" s="4"/>
      <c r="G32" s="4"/>
      <c r="H32" s="4"/>
      <c r="I32" s="4"/>
      <c r="J32" s="27"/>
      <c r="K32" s="1"/>
      <c r="L32" s="1"/>
      <c r="M32" s="1"/>
      <c r="N32" s="1"/>
      <c r="O32" s="1"/>
      <c r="P32" s="1"/>
      <c r="Q32" s="1"/>
      <c r="R32" s="1"/>
    </row>
    <row r="33" spans="1:18" ht="15.75" customHeight="1">
      <c r="A33" s="11">
        <v>13</v>
      </c>
      <c r="B33" s="45" t="str">
        <f>IF(AND(ISNUMBER(Inputs!E33),ISNUMBER(Inputs!G33),ISNUMBER(Inputs!I33),ISNUMBER(Inputs!K33)), TEXT(ABS(Inputs!E33+Inputs!G33-Inputs!I33-Inputs!K33),"[h]:mm"), "")</f>
        <v/>
      </c>
      <c r="C33" s="8"/>
      <c r="D33" s="47" t="str">
        <f>IF(AND(ISNUMBER(Inputs!B33),ISNUMBER(Inputs!C33),ISNUMBER(Inputs!I33),ISNUMBER(Inputs!K33)), TEXT(ABS(Inputs!B33+Inputs!C33-Inputs!I33-Inputs!K33),"[h]:mm"), "")</f>
        <v/>
      </c>
      <c r="E33" s="45" t="str">
        <f>IF(AND(ISNUMBER(Inputs!B15),ISNUMBER(Inputs!D15),ISNUMBER(Inputs!I33),ISNUMBER(Inputs!K33)), TEXT(ABS(Inputs!B15+Inputs!D15-Inputs!I33-Inputs!K33),"[h]:mm"), "")</f>
        <v/>
      </c>
      <c r="F33" s="4"/>
      <c r="G33" s="4"/>
      <c r="H33" s="4"/>
      <c r="I33" s="4"/>
      <c r="J33" s="27"/>
      <c r="K33" s="1"/>
      <c r="L33" s="1"/>
      <c r="M33" s="1"/>
      <c r="N33" s="1"/>
      <c r="O33" s="1"/>
      <c r="P33" s="1"/>
      <c r="Q33" s="1"/>
      <c r="R33" s="1"/>
    </row>
    <row r="34" spans="1:18" ht="15.75" customHeight="1">
      <c r="A34" s="12">
        <v>14</v>
      </c>
      <c r="B34" s="45" t="str">
        <f>IF(AND(ISNUMBER(Inputs!E34),ISNUMBER(Inputs!G34),ISNUMBER(Inputs!I34),ISNUMBER(Inputs!K34)), TEXT(ABS(Inputs!E34+Inputs!G34-Inputs!I34-Inputs!K34),"[h]:mm"), "")</f>
        <v/>
      </c>
      <c r="C34" s="8"/>
      <c r="D34" s="47" t="str">
        <f>IF(AND(ISNUMBER(Inputs!B34),ISNUMBER(Inputs!C34),ISNUMBER(Inputs!I34),ISNUMBER(Inputs!K34)), TEXT(ABS(Inputs!B34+Inputs!C34-Inputs!I34-Inputs!K34),"[h]:mm"), "")</f>
        <v/>
      </c>
      <c r="E34" s="45" t="str">
        <f>IF(AND(ISNUMBER(Inputs!B16),ISNUMBER(Inputs!D16),ISNUMBER(Inputs!I34),ISNUMBER(Inputs!K34)), TEXT(ABS(Inputs!B16+Inputs!D16-Inputs!I34-Inputs!K34),"[h]:mm"), "")</f>
        <v/>
      </c>
      <c r="F34" s="4"/>
      <c r="G34" s="4"/>
      <c r="H34" s="4"/>
      <c r="I34" s="4"/>
      <c r="J34" s="27"/>
      <c r="K34" s="1"/>
      <c r="L34" s="1"/>
      <c r="M34" s="1"/>
      <c r="N34" s="1"/>
      <c r="O34" s="1"/>
      <c r="P34" s="1"/>
      <c r="Q34" s="1"/>
      <c r="R34" s="1"/>
    </row>
    <row r="35" spans="1:18" ht="15.75" customHeight="1">
      <c r="A35" s="11">
        <v>15</v>
      </c>
      <c r="B35" s="45" t="str">
        <f>IF(AND(ISNUMBER(Inputs!E35),ISNUMBER(Inputs!G35),ISNUMBER(Inputs!I35),ISNUMBER(Inputs!K35)), TEXT(ABS(Inputs!E35+Inputs!G35-Inputs!I35-Inputs!K35),"[h]:mm"), "")</f>
        <v/>
      </c>
      <c r="C35" s="9"/>
      <c r="D35" s="47" t="str">
        <f>IF(AND(ISNUMBER(Inputs!B35),ISNUMBER(Inputs!C35),ISNUMBER(Inputs!I35),ISNUMBER(Inputs!K35)), TEXT(ABS(Inputs!B35+Inputs!C35-Inputs!I35-Inputs!K35),"[h]:mm"), "")</f>
        <v/>
      </c>
      <c r="E35" s="45" t="str">
        <f>IF(AND(ISNUMBER(Inputs!B17),ISNUMBER(Inputs!D17),ISNUMBER(Inputs!I35),ISNUMBER(Inputs!K35)), TEXT(ABS(Inputs!B17+Inputs!D17-Inputs!I35-Inputs!K35),"[h]:mm"), "")</f>
        <v/>
      </c>
      <c r="F35" s="6"/>
      <c r="G35" s="6"/>
      <c r="H35" s="6"/>
      <c r="I35" s="6"/>
      <c r="J35" s="27"/>
      <c r="K35" s="1"/>
      <c r="L35" s="1"/>
      <c r="M35" s="1"/>
      <c r="N35" s="1"/>
      <c r="O35" s="1"/>
      <c r="P35" s="1"/>
      <c r="Q35" s="1"/>
      <c r="R35" s="1"/>
    </row>
    <row r="36" spans="1:18" ht="15.75" customHeight="1">
      <c r="A36" s="13" t="s">
        <v>16</v>
      </c>
      <c r="B36" s="46" t="str">
        <f t="array" ref="B36">IF(SUM(IFERROR(--B21:B35,0))=0,"",TEXT(SUM(IFERROR(--B21:B35,0)),"[h]:mm"))</f>
        <v/>
      </c>
      <c r="C36" s="32"/>
      <c r="D36" s="45" t="str">
        <f t="array" ref="D36">IF(SUM(IFERROR(--D21:D35,0))=0,"",TEXT(SUM(IFERROR(--D21:D35,0)),"[h]:mm"))</f>
        <v/>
      </c>
      <c r="E36" s="45" t="str">
        <f t="array" ref="E36">IF(SUM(IFERROR(--E21:E35,0))=0,"",TEXT(SUM(IFERROR(--E21:E35,0)),"[h]:mm"))</f>
        <v/>
      </c>
      <c r="F36" s="33"/>
      <c r="G36" s="29"/>
      <c r="H36" s="29"/>
      <c r="I36" s="34"/>
      <c r="J36" s="27"/>
      <c r="K36" s="1"/>
      <c r="L36" s="1"/>
      <c r="M36" s="1"/>
      <c r="N36" s="1"/>
      <c r="O36" s="1"/>
      <c r="P36" s="1"/>
      <c r="Q36" s="1"/>
      <c r="R36" s="1"/>
    </row>
    <row r="37" spans="1:18" ht="15.75" customHeight="1">
      <c r="A37" s="13" t="s">
        <v>17</v>
      </c>
      <c r="B37" s="45" t="str">
        <f t="array" ref="B37">IF(COUNTA(B21:B35)=0,"",IFERROR(IF(SUM(IFERROR(VALUE(B21:B35),0))/SUMPRODUCT(--(ISNUMBER(IFERROR(VALUE(B21:B35),""))),--(B21:B35&lt;&gt;""))=0,"",TEXT(SUM(IFERROR(VALUE(B21:B35),0))/SUMPRODUCT(--(ISNUMBER(IFERROR(VALUE(B21:B35),""))),--(B21:B35&lt;&gt;"")),"[h]:mm")),""))</f>
        <v/>
      </c>
      <c r="C37" s="31"/>
      <c r="D37" s="45" t="str">
        <f t="array" ref="D37">IF(COUNTA(D21:D35)=0,"",IFERROR(IF(SUM(IFERROR(VALUE(D21:D35),0))/SUMPRODUCT(--(ISNUMBER(IFERROR(VALUE(D21:D35),""))),--(D21:D35&lt;&gt;""))=0,"",TEXT(SUM(IFERROR(VALUE(D21:D35),0))/SUMPRODUCT(--(ISNUMBER(IFERROR(VALUE(D21:D35),""))),--(D21:D35&lt;&gt;"")),"[h]:mm")),""))</f>
        <v/>
      </c>
      <c r="E37" s="45" t="str">
        <f t="array" ref="E37">IF(COUNTA(E21:E35)=0,"",IFERROR(IF(SUM(IFERROR(VALUE(E21:E35),0))/SUMPRODUCT(--(ISNUMBER(IFERROR(VALUE(E21:E35),""))),--(E21:E35&lt;&gt;""))=0,"",TEXT(SUM(IFERROR(VALUE(E21:E35),0))/SUMPRODUCT(--(ISNUMBER(IFERROR(VALUE(E21:E35),""))),--(E21:E35&lt;&gt;"")),"[h]:mm")),""))</f>
        <v/>
      </c>
      <c r="F37" s="35"/>
      <c r="G37" s="36"/>
      <c r="H37" s="36"/>
      <c r="I37" s="37"/>
      <c r="J37" s="27"/>
      <c r="K37" s="1"/>
      <c r="L37" s="1"/>
      <c r="M37" s="1"/>
      <c r="N37" s="1"/>
      <c r="O37" s="1"/>
      <c r="P37" s="1"/>
      <c r="Q37" s="1"/>
      <c r="R37" s="1"/>
    </row>
    <row r="38" spans="1:18" ht="15.75" customHeight="1">
      <c r="A38" s="28"/>
      <c r="B38" s="29"/>
      <c r="C38" s="29"/>
      <c r="D38" s="29"/>
      <c r="E38" s="29"/>
      <c r="F38" s="29"/>
      <c r="G38" s="29"/>
      <c r="H38" s="29"/>
      <c r="I38" s="29"/>
      <c r="J38" s="27"/>
      <c r="K38" s="1"/>
      <c r="L38" s="1"/>
      <c r="M38" s="1"/>
      <c r="N38" s="1"/>
      <c r="O38" s="1"/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sheetProtection algorithmName="SHA-512" hashValue="euSAhcBfT5KIgukO8MfdTBblt9NdTw4mRbu3Zyn1csXiUhtL81u6c+ChVuduFDsg+sGFSS69ndncH4p79zqn+w==" saltValue="WCYFbhm+xgSyi2DFcSC1JA==" spinCount="100000" sheet="1" objects="1" scenarios="1" formatCells="0" formatColumns="0" formatRows="0" selectLockedCells="1" sort="0" autoFilter="0" pivotTables="0"/>
  <mergeCells count="10">
    <mergeCell ref="I1:I18"/>
    <mergeCell ref="A19:I19"/>
    <mergeCell ref="J20:J38"/>
    <mergeCell ref="A38:I38"/>
    <mergeCell ref="B17:B18"/>
    <mergeCell ref="D17:D18"/>
    <mergeCell ref="F17:F18"/>
    <mergeCell ref="H17:H18"/>
    <mergeCell ref="C36:C37"/>
    <mergeCell ref="F36:I37"/>
  </mergeCells>
  <conditionalFormatting sqref="C17:C18">
    <cfRule type="notContainsBlanks" dxfId="4" priority="6">
      <formula>LEN(TRIM(C17))&gt;0</formula>
    </cfRule>
  </conditionalFormatting>
  <conditionalFormatting sqref="E17:E18">
    <cfRule type="notContainsBlanks" dxfId="3" priority="7">
      <formula>LEN(TRIM(E17))&gt;0</formula>
    </cfRule>
  </conditionalFormatting>
  <conditionalFormatting sqref="G17:G18">
    <cfRule type="notContainsBlanks" dxfId="2" priority="8">
      <formula>LEN(TRIM(G17))&gt;0</formula>
    </cfRule>
  </conditionalFormatting>
  <conditionalFormatting sqref="B36:B37">
    <cfRule type="notContainsBlanks" dxfId="1" priority="9">
      <formula>LEN(TRIM(B36))&gt;0</formula>
    </cfRule>
  </conditionalFormatting>
  <conditionalFormatting sqref="D36:E37">
    <cfRule type="notContainsBlanks" dxfId="0" priority="10">
      <formula>LEN(TRIM(D36))&gt;0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Santanu Roy</dc:creator>
  <cp:lastModifiedBy>Santanu Roy</cp:lastModifiedBy>
  <dcterms:created xsi:type="dcterms:W3CDTF">2023-05-18T13:43:57Z</dcterms:created>
  <dcterms:modified xsi:type="dcterms:W3CDTF">2023-05-18T13:52:08Z</dcterms:modified>
</cp:coreProperties>
</file>